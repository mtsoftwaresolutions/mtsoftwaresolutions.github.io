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cbc5adddd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portunities" sheetId="1" r:id="Rda7fad008d5341fd"/>
    <x:sheet xmlns:r="http://schemas.openxmlformats.org/officeDocument/2006/relationships" name="Project estimate" sheetId="2" r:id="R1420de3732864c30"/>
    <x:sheet xmlns:r="http://schemas.openxmlformats.org/officeDocument/2006/relationships" name="Project results" sheetId="3" r:id="R467183471ccb4020"/>
    <x:sheet xmlns:r="http://schemas.openxmlformats.org/officeDocument/2006/relationships" name="Cohort metrics" sheetId="4" r:id="Rf43c8934c57746ad"/>
    <x:sheet xmlns:r="http://schemas.openxmlformats.org/officeDocument/2006/relationships" name="Collections" sheetId="5" r:id="R9b4cdb1230bf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"/>
    <x:numFmt numFmtId="201" formatCode="yyyy-mm-dd"/>
    <x:numFmt numFmtId="202" formatCode="#,##0.00"/>
    <x:numFmt numFmtId="203" formatCode="0.0"/>
    <x:numFmt numFmtId="204" formatCode="#,##0.00;(#,##0.00);&quot;—&quot;"/>
    <x:numFmt numFmtId="205" formatCode="0.0%;(0.0%);&quot;—&quot;"/>
    <x:numFmt numFmtId="206" formatCode="0.0%"/>
  </x:numFmts>
  <x:fonts count="7">
    <x:font>
      <x:sz val="11"/>
      <x:name val="Carlito"/>
    </x:font>
    <x:font>
      <x:sz val="10"/>
      <x:color rgb="FF242424"/>
      <x:name val="Arial"/>
    </x:font>
    <x:font>
      <x:b/>
      <x:sz val="16"/>
      <x:color rgb="FF1A3A2E"/>
      <x:name val="Arial"/>
    </x:font>
    <x:font>
      <x:i/>
      <x:sz val="10"/>
      <x:color rgb="FF5E5A56"/>
      <x:name val="Arial"/>
    </x:font>
    <x:font>
      <x:b/>
      <x:sz val="10"/>
      <x:color rgb="FFFFFFFF"/>
      <x:name val="Arial"/>
    </x:font>
    <x:font>
      <x:sz val="10"/>
      <x:color rgb="FF2457D6"/>
      <x:name val="Arial"/>
    </x:font>
    <x:font>
      <x:b/>
      <x:sz val="10"/>
      <x:color rgb="FF2424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A3A2E"/>
      </x:patternFill>
    </x:fill>
    <x:fill>
      <x:patternFill patternType="solid">
        <x:fgColor rgb="FFFFF8D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9A84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E2EF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db118804b486a" /><Relationship Type="http://schemas.openxmlformats.org/officeDocument/2006/relationships/theme" Target="/xl/theme/theme1.xml" Id="R1e8da576f25e40cf" /><Relationship Type="http://schemas.openxmlformats.org/officeDocument/2006/relationships/sharedStrings" Target="/xl/sharedStrings.xml" Id="Rfbac464d52004ed7" /><Relationship Type="http://schemas.openxmlformats.org/officeDocument/2006/relationships/worksheet" Target="/xl/worksheets/sheet1.xml" Id="Rda7fad008d5341fd" /><Relationship Type="http://schemas.openxmlformats.org/officeDocument/2006/relationships/worksheet" Target="/xl/worksheets/sheet2.xml" Id="R1420de3732864c30" /><Relationship Type="http://schemas.openxmlformats.org/officeDocument/2006/relationships/worksheet" Target="/xl/worksheets/sheet3.xml" Id="R467183471ccb4020" /><Relationship Type="http://schemas.openxmlformats.org/officeDocument/2006/relationships/worksheet" Target="/xl/worksheets/sheet4.xml" Id="Rf43c8934c57746ad" /><Relationship Type="http://schemas.openxmlformats.org/officeDocument/2006/relationships/worksheet" Target="/xl/worksheets/sheet5.xml" Id="R9b4cdb1230bf4f3a" /></Relationships>
</file>

<file path=xl/tables/table1.xml><?xml version="1.0" encoding="utf-8"?>
<x:table xmlns:x="http://schemas.openxmlformats.org/spreadsheetml/2006/main" id="1" name="SalesOpportunities" displayName="SalesOpportunities" ref="A5:AA105" headerRowCount="1" totalsRowCount="0" totalsRowShown="0">
  <x:autoFilter ref="A5:AA105"/>
  <x:tableColumns count="27">
    <x:tableColumn id="1" name="Opportunity ID"/>
    <x:tableColumn id="2" name="Received at"/>
    <x:tableColumn id="3" name="Source"/>
    <x:tableColumn id="4" name="Source detail / campaign"/>
    <x:tableColumn id="5" name="Audience"/>
    <x:tableColumn id="6" name="Need"/>
    <x:tableColumn id="7" name="Service"/>
    <x:tableColumn id="8" name="Engagement path"/>
    <x:tableColumn id="9" name="Responsible person"/>
    <x:tableColumn id="10" name="Current stage"/>
    <x:tableColumn id="11" name="Qualification reviewed at"/>
    <x:tableColumn id="12" name="Qualified at"/>
    <x:tableColumn id="13" name="First contact at"/>
    <x:tableColumn id="14" name="Last contact at"/>
    <x:tableColumn id="15" name="Next action"/>
    <x:tableColumn id="16" name="Next action date"/>
    <x:tableColumn id="17" name="Proposal sent at"/>
    <x:tableColumn id="18" name="Proposal value"/>
    <x:tableColumn id="19" name="Currency"/>
    <x:tableColumn id="20" name="Decision date"/>
    <x:tableColumn id="21" name="Known decision reason"/>
    <x:tableColumn id="22" name="Won criterion evidence"/>
    <x:tableColumn id="23" name="Client ID"/>
    <x:tableColumn id="24" name="New client?"/>
    <x:tableColumn id="25" name="Cohort"/>
    <x:tableColumn id="26" name="Maintenance / repeat?"/>
    <x:tableColumn id="27" name="Response hou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Results" displayName="ProjectResults" ref="A5:P105" headerRowCount="1" totalsRowCount="0" totalsRowShown="0">
  <x:autoFilter ref="A5:P105"/>
  <x:tableColumns count="16">
    <x:tableColumn id="1" name="Project ID"/>
    <x:tableColumn id="2" name="Client ID"/>
    <x:tableColumn id="3" name="Scope version"/>
    <x:tableColumn id="4" name="Currency"/>
    <x:tableColumn id="5" name="Est. hours"/>
    <x:tableColumn id="6" name="Actual hours"/>
    <x:tableColumn id="7" name="Est. delivery cost"/>
    <x:tableColumn id="8" name="Actual delivery cost"/>
    <x:tableColumn id="9" name="Recognized revenue"/>
    <x:tableColumn id="10" name="Project contribution"/>
    <x:tableColumn id="11" name="Project margin"/>
    <x:tableColumn id="12" name="Effort overrun"/>
    <x:tableColumn id="13" name="Cost overrun"/>
    <x:tableColumn id="14" name="Collected amount"/>
    <x:tableColumn id="15" name="Result notes"/>
    <x:tableColumn id="16" name="Repeat / mainten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Collections" displayName="PaymentCollections" ref="A5:J105" headerRowCount="1" totalsRowCount="0" totalsRowShown="0">
  <x:autoFilter ref="A5:J105"/>
  <x:tableColumns count="10">
    <x:tableColumn id="1" name="Payment ID"/>
    <x:tableColumn id="2" name="Project ID"/>
    <x:tableColumn id="3" name="Receipt / due date"/>
    <x:tableColumn id="4" name="Amount"/>
    <x:tableColumn id="5" name="Currency"/>
    <x:tableColumn id="6" name="Payment reference"/>
    <x:tableColumn id="7" name="State"/>
    <x:tableColumn id="8" name="Responsible person"/>
    <x:tableColumn id="9" name="Notes"/>
    <x:tableColumn id="10" name="Record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1d5c9b605e45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89966da63444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e9592c21d8d467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0" hidden="0" customWidth="1"/>
    <x:col min="22" max="22" width="30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Sales opportunities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4" t="str">
        <x:v>One row per inquiry. Stage is separate from the recorded milestone dates and collected payments. No actual records supplied.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</x:row>
    <x:row r="5" ht="44" customHeight="1">
      <x:c r="A5" s="14" t="str">
        <x:v>Opportunity ID</x:v>
      </x:c>
      <x:c r="B5" s="15" t="str">
        <x:v>Received at</x:v>
      </x:c>
      <x:c r="C5" s="15" t="str">
        <x:v>Source</x:v>
      </x:c>
      <x:c r="D5" s="15" t="str">
        <x:v>Source detail / campaign</x:v>
      </x:c>
      <x:c r="E5" s="15" t="str">
        <x:v>Audience</x:v>
      </x:c>
      <x:c r="F5" s="15" t="str">
        <x:v>Need</x:v>
      </x:c>
      <x:c r="G5" s="15" t="str">
        <x:v>Service</x:v>
      </x:c>
      <x:c r="H5" s="15" t="str">
        <x:v>Engagement path</x:v>
      </x:c>
      <x:c r="I5" s="15" t="str">
        <x:v>Responsible person</x:v>
      </x:c>
      <x:c r="J5" s="15" t="str">
        <x:v>Current stage</x:v>
      </x:c>
      <x:c r="K5" s="15" t="str">
        <x:v>Qualification reviewed at</x:v>
      </x:c>
      <x:c r="L5" s="15" t="str">
        <x:v>Qualified at</x:v>
      </x:c>
      <x:c r="M5" s="15" t="str">
        <x:v>First contact at</x:v>
      </x:c>
      <x:c r="N5" s="15" t="str">
        <x:v>Last contact at</x:v>
      </x:c>
      <x:c r="O5" s="15" t="str">
        <x:v>Next action</x:v>
      </x:c>
      <x:c r="P5" s="15" t="str">
        <x:v>Next action date</x:v>
      </x:c>
      <x:c r="Q5" s="15" t="str">
        <x:v>Proposal sent at</x:v>
      </x:c>
      <x:c r="R5" s="15" t="str">
        <x:v>Proposal value</x:v>
      </x:c>
      <x:c r="S5" s="15" t="str">
        <x:v>Currency</x:v>
      </x:c>
      <x:c r="T5" s="15" t="str">
        <x:v>Decision date</x:v>
      </x:c>
      <x:c r="U5" s="15" t="str">
        <x:v>Known decision reason</x:v>
      </x:c>
      <x:c r="V5" s="15" t="str">
        <x:v>Won criterion evidence</x:v>
      </x:c>
      <x:c r="W5" s="15" t="str">
        <x:v>Client ID</x:v>
      </x:c>
      <x:c r="X5" s="15" t="str">
        <x:v>New client?</x:v>
      </x:c>
      <x:c r="Y5" s="15" t="str">
        <x:v>Cohort</x:v>
      </x:c>
      <x:c r="Z5" s="15" t="str">
        <x:v>Maintenance / repeat?</x:v>
      </x:c>
      <x:c r="AA5" s="16" t="str">
        <x:v>Response hours</x:v>
      </x:c>
    </x:row>
    <x:row r="6" ht="25" customHeight="1">
      <x:c r="A6" s="17"/>
      <x:c r="B6" s="18"/>
      <x:c r="C6" s="17"/>
      <x:c r="D6" s="17"/>
      <x:c r="E6" s="17"/>
      <x:c r="F6" s="17"/>
      <x:c r="G6" s="17"/>
      <x:c r="H6" s="17"/>
      <x:c r="I6" s="17"/>
      <x:c r="J6" s="17"/>
      <x:c r="K6" s="18"/>
      <x:c r="L6" s="18"/>
      <x:c r="M6" s="18"/>
      <x:c r="N6" s="18"/>
      <x:c r="O6" s="17"/>
      <x:c r="P6" s="19"/>
      <x:c r="Q6" s="18"/>
      <x:c r="R6" s="20"/>
      <x:c r="S6" s="17"/>
      <x:c r="T6" s="18"/>
      <x:c r="U6" s="17"/>
      <x:c r="V6" s="17"/>
      <x:c r="W6" s="17"/>
      <x:c r="X6" s="17"/>
      <x:c r="Y6" s="17"/>
      <x:c r="Z6" s="17"/>
      <x:c r="AA6" s="21" t="str">
        <x:f>IF(COUNT(B6,M6)&lt;2,"",IF(M6&lt;B6,"Invalid dates",(M6-B6)*24))</x:f>
      </x:c>
    </x:row>
    <x:row r="7" ht="25" customHeight="1">
      <x:c r="A7" s="17"/>
      <x:c r="B7" s="18"/>
      <x:c r="C7" s="17"/>
      <x:c r="D7" s="17"/>
      <x:c r="E7" s="17"/>
      <x:c r="F7" s="17"/>
      <x:c r="G7" s="17"/>
      <x:c r="H7" s="17"/>
      <x:c r="I7" s="17"/>
      <x:c r="J7" s="17"/>
      <x:c r="K7" s="18"/>
      <x:c r="L7" s="18"/>
      <x:c r="M7" s="18"/>
      <x:c r="N7" s="18"/>
      <x:c r="O7" s="17"/>
      <x:c r="P7" s="19"/>
      <x:c r="Q7" s="18"/>
      <x:c r="R7" s="20"/>
      <x:c r="S7" s="17"/>
      <x:c r="T7" s="18"/>
      <x:c r="U7" s="17"/>
      <x:c r="V7" s="17"/>
      <x:c r="W7" s="17"/>
      <x:c r="X7" s="17"/>
      <x:c r="Y7" s="17"/>
      <x:c r="Z7" s="17"/>
      <x:c r="AA7" s="21" t="str">
        <x:f>IF(COUNT(B7,M7)&lt;2,"",IF(M7&lt;B7,"Invalid dates",(M7-B7)*24))</x:f>
      </x:c>
    </x:row>
    <x:row r="8" ht="25" customHeight="1">
      <x:c r="A8" s="17"/>
      <x:c r="B8" s="18"/>
      <x:c r="C8" s="17"/>
      <x:c r="D8" s="17"/>
      <x:c r="E8" s="17"/>
      <x:c r="F8" s="17"/>
      <x:c r="G8" s="17"/>
      <x:c r="H8" s="17"/>
      <x:c r="I8" s="17"/>
      <x:c r="J8" s="17"/>
      <x:c r="K8" s="18"/>
      <x:c r="L8" s="18"/>
      <x:c r="M8" s="18"/>
      <x:c r="N8" s="18"/>
      <x:c r="O8" s="17"/>
      <x:c r="P8" s="19"/>
      <x:c r="Q8" s="18"/>
      <x:c r="R8" s="20"/>
      <x:c r="S8" s="17"/>
      <x:c r="T8" s="18"/>
      <x:c r="U8" s="17"/>
      <x:c r="V8" s="17"/>
      <x:c r="W8" s="17"/>
      <x:c r="X8" s="17"/>
      <x:c r="Y8" s="17"/>
      <x:c r="Z8" s="17"/>
      <x:c r="AA8" s="21" t="str">
        <x:f>IF(COUNT(B8,M8)&lt;2,"",IF(M8&lt;B8,"Invalid dates",(M8-B8)*24))</x:f>
      </x:c>
    </x:row>
    <x:row r="9" ht="25" customHeight="1">
      <x:c r="A9" s="17"/>
      <x:c r="B9" s="18"/>
      <x:c r="C9" s="17"/>
      <x:c r="D9" s="17"/>
      <x:c r="E9" s="17"/>
      <x:c r="F9" s="17"/>
      <x:c r="G9" s="17"/>
      <x:c r="H9" s="17"/>
      <x:c r="I9" s="17"/>
      <x:c r="J9" s="17"/>
      <x:c r="K9" s="18"/>
      <x:c r="L9" s="18"/>
      <x:c r="M9" s="18"/>
      <x:c r="N9" s="18"/>
      <x:c r="O9" s="17"/>
      <x:c r="P9" s="19"/>
      <x:c r="Q9" s="18"/>
      <x:c r="R9" s="20"/>
      <x:c r="S9" s="17"/>
      <x:c r="T9" s="18"/>
      <x:c r="U9" s="17"/>
      <x:c r="V9" s="17"/>
      <x:c r="W9" s="17"/>
      <x:c r="X9" s="17"/>
      <x:c r="Y9" s="17"/>
      <x:c r="Z9" s="17"/>
      <x:c r="AA9" s="21" t="str">
        <x:f>IF(COUNT(B9,M9)&lt;2,"",IF(M9&lt;B9,"Invalid dates",(M9-B9)*24))</x:f>
      </x:c>
    </x:row>
    <x:row r="10" ht="25" customHeight="1">
      <x:c r="A10" s="17"/>
      <x:c r="B10" s="18"/>
      <x:c r="C10" s="17"/>
      <x:c r="D10" s="17"/>
      <x:c r="E10" s="17"/>
      <x:c r="F10" s="17"/>
      <x:c r="G10" s="17"/>
      <x:c r="H10" s="17"/>
      <x:c r="I10" s="17"/>
      <x:c r="J10" s="17"/>
      <x:c r="K10" s="18"/>
      <x:c r="L10" s="18"/>
      <x:c r="M10" s="18"/>
      <x:c r="N10" s="18"/>
      <x:c r="O10" s="17"/>
      <x:c r="P10" s="19"/>
      <x:c r="Q10" s="18"/>
      <x:c r="R10" s="20"/>
      <x:c r="S10" s="17"/>
      <x:c r="T10" s="18"/>
      <x:c r="U10" s="17"/>
      <x:c r="V10" s="17"/>
      <x:c r="W10" s="17"/>
      <x:c r="X10" s="17"/>
      <x:c r="Y10" s="17"/>
      <x:c r="Z10" s="17"/>
      <x:c r="AA10" s="21" t="str">
        <x:f>IF(COUNT(B10,M10)&lt;2,"",IF(M10&lt;B10,"Invalid dates",(M10-B10)*24))</x:f>
      </x:c>
    </x:row>
    <x:row r="11" ht="25" customHeight="1">
      <x:c r="A11" s="17"/>
      <x:c r="B11" s="18"/>
      <x:c r="C11" s="17"/>
      <x:c r="D11" s="17"/>
      <x:c r="E11" s="17"/>
      <x:c r="F11" s="17"/>
      <x:c r="G11" s="17"/>
      <x:c r="H11" s="17"/>
      <x:c r="I11" s="17"/>
      <x:c r="J11" s="17"/>
      <x:c r="K11" s="18"/>
      <x:c r="L11" s="18"/>
      <x:c r="M11" s="18"/>
      <x:c r="N11" s="18"/>
      <x:c r="O11" s="17"/>
      <x:c r="P11" s="19"/>
      <x:c r="Q11" s="18"/>
      <x:c r="R11" s="20"/>
      <x:c r="S11" s="17"/>
      <x:c r="T11" s="18"/>
      <x:c r="U11" s="17"/>
      <x:c r="V11" s="17"/>
      <x:c r="W11" s="17"/>
      <x:c r="X11" s="17"/>
      <x:c r="Y11" s="17"/>
      <x:c r="Z11" s="17"/>
      <x:c r="AA11" s="21" t="str">
        <x:f>IF(COUNT(B11,M11)&lt;2,"",IF(M11&lt;B11,"Invalid dates",(M11-B11)*24))</x:f>
      </x:c>
    </x:row>
    <x:row r="12" ht="25" customHeight="1">
      <x:c r="A12" s="17"/>
      <x:c r="B12" s="18"/>
      <x:c r="C12" s="17"/>
      <x:c r="D12" s="17"/>
      <x:c r="E12" s="17"/>
      <x:c r="F12" s="17"/>
      <x:c r="G12" s="17"/>
      <x:c r="H12" s="17"/>
      <x:c r="I12" s="17"/>
      <x:c r="J12" s="17"/>
      <x:c r="K12" s="18"/>
      <x:c r="L12" s="18"/>
      <x:c r="M12" s="18"/>
      <x:c r="N12" s="18"/>
      <x:c r="O12" s="17"/>
      <x:c r="P12" s="19"/>
      <x:c r="Q12" s="18"/>
      <x:c r="R12" s="20"/>
      <x:c r="S12" s="17"/>
      <x:c r="T12" s="18"/>
      <x:c r="U12" s="17"/>
      <x:c r="V12" s="17"/>
      <x:c r="W12" s="17"/>
      <x:c r="X12" s="17"/>
      <x:c r="Y12" s="17"/>
      <x:c r="Z12" s="17"/>
      <x:c r="AA12" s="21" t="str">
        <x:f>IF(COUNT(B12,M12)&lt;2,"",IF(M12&lt;B12,"Invalid dates",(M12-B12)*24))</x:f>
      </x:c>
    </x:row>
    <x:row r="13" ht="25" customHeight="1">
      <x:c r="A13" s="17"/>
      <x:c r="B13" s="18"/>
      <x:c r="C13" s="17"/>
      <x:c r="D13" s="17"/>
      <x:c r="E13" s="17"/>
      <x:c r="F13" s="17"/>
      <x:c r="G13" s="17"/>
      <x:c r="H13" s="17"/>
      <x:c r="I13" s="17"/>
      <x:c r="J13" s="17"/>
      <x:c r="K13" s="18"/>
      <x:c r="L13" s="18"/>
      <x:c r="M13" s="18"/>
      <x:c r="N13" s="18"/>
      <x:c r="O13" s="17"/>
      <x:c r="P13" s="19"/>
      <x:c r="Q13" s="18"/>
      <x:c r="R13" s="20"/>
      <x:c r="S13" s="17"/>
      <x:c r="T13" s="18"/>
      <x:c r="U13" s="17"/>
      <x:c r="V13" s="17"/>
      <x:c r="W13" s="17"/>
      <x:c r="X13" s="17"/>
      <x:c r="Y13" s="17"/>
      <x:c r="Z13" s="17"/>
      <x:c r="AA13" s="21" t="str">
        <x:f>IF(COUNT(B13,M13)&lt;2,"",IF(M13&lt;B13,"Invalid dates",(M13-B13)*24))</x:f>
      </x:c>
    </x:row>
    <x:row r="14" ht="25" customHeight="1">
      <x:c r="A14" s="17"/>
      <x:c r="B14" s="18"/>
      <x:c r="C14" s="17"/>
      <x:c r="D14" s="17"/>
      <x:c r="E14" s="17"/>
      <x:c r="F14" s="17"/>
      <x:c r="G14" s="17"/>
      <x:c r="H14" s="17"/>
      <x:c r="I14" s="17"/>
      <x:c r="J14" s="17"/>
      <x:c r="K14" s="18"/>
      <x:c r="L14" s="18"/>
      <x:c r="M14" s="18"/>
      <x:c r="N14" s="18"/>
      <x:c r="O14" s="17"/>
      <x:c r="P14" s="19"/>
      <x:c r="Q14" s="18"/>
      <x:c r="R14" s="20"/>
      <x:c r="S14" s="17"/>
      <x:c r="T14" s="18"/>
      <x:c r="U14" s="17"/>
      <x:c r="V14" s="17"/>
      <x:c r="W14" s="17"/>
      <x:c r="X14" s="17"/>
      <x:c r="Y14" s="17"/>
      <x:c r="Z14" s="17"/>
      <x:c r="AA14" s="21" t="str">
        <x:f>IF(COUNT(B14,M14)&lt;2,"",IF(M14&lt;B14,"Invalid dates",(M14-B14)*24))</x:f>
      </x:c>
    </x:row>
    <x:row r="15" ht="25" customHeight="1">
      <x:c r="A15" s="17"/>
      <x:c r="B15" s="18"/>
      <x:c r="C15" s="17"/>
      <x:c r="D15" s="17"/>
      <x:c r="E15" s="17"/>
      <x:c r="F15" s="17"/>
      <x:c r="G15" s="17"/>
      <x:c r="H15" s="17"/>
      <x:c r="I15" s="17"/>
      <x:c r="J15" s="17"/>
      <x:c r="K15" s="18"/>
      <x:c r="L15" s="18"/>
      <x:c r="M15" s="18"/>
      <x:c r="N15" s="18"/>
      <x:c r="O15" s="17"/>
      <x:c r="P15" s="19"/>
      <x:c r="Q15" s="18"/>
      <x:c r="R15" s="20"/>
      <x:c r="S15" s="17"/>
      <x:c r="T15" s="18"/>
      <x:c r="U15" s="17"/>
      <x:c r="V15" s="17"/>
      <x:c r="W15" s="17"/>
      <x:c r="X15" s="17"/>
      <x:c r="Y15" s="17"/>
      <x:c r="Z15" s="17"/>
      <x:c r="AA15" s="21" t="str">
        <x:f>IF(COUNT(B15,M15)&lt;2,"",IF(M15&lt;B15,"Invalid dates",(M15-B15)*24))</x:f>
      </x:c>
    </x:row>
    <x:row r="16" ht="25" customHeight="1">
      <x:c r="A16" s="17"/>
      <x:c r="B16" s="18"/>
      <x:c r="C16" s="17"/>
      <x:c r="D16" s="17"/>
      <x:c r="E16" s="17"/>
      <x:c r="F16" s="17"/>
      <x:c r="G16" s="17"/>
      <x:c r="H16" s="17"/>
      <x:c r="I16" s="17"/>
      <x:c r="J16" s="17"/>
      <x:c r="K16" s="18"/>
      <x:c r="L16" s="18"/>
      <x:c r="M16" s="18"/>
      <x:c r="N16" s="18"/>
      <x:c r="O16" s="17"/>
      <x:c r="P16" s="19"/>
      <x:c r="Q16" s="18"/>
      <x:c r="R16" s="20"/>
      <x:c r="S16" s="17"/>
      <x:c r="T16" s="18"/>
      <x:c r="U16" s="17"/>
      <x:c r="V16" s="17"/>
      <x:c r="W16" s="17"/>
      <x:c r="X16" s="17"/>
      <x:c r="Y16" s="17"/>
      <x:c r="Z16" s="17"/>
      <x:c r="AA16" s="21" t="str">
        <x:f>IF(COUNT(B16,M16)&lt;2,"",IF(M16&lt;B16,"Invalid dates",(M16-B16)*24))</x:f>
      </x:c>
    </x:row>
    <x:row r="17" ht="25" customHeight="1">
      <x:c r="A17" s="17"/>
      <x:c r="B17" s="18"/>
      <x:c r="C17" s="17"/>
      <x:c r="D17" s="17"/>
      <x:c r="E17" s="17"/>
      <x:c r="F17" s="17"/>
      <x:c r="G17" s="17"/>
      <x:c r="H17" s="17"/>
      <x:c r="I17" s="17"/>
      <x:c r="J17" s="17"/>
      <x:c r="K17" s="18"/>
      <x:c r="L17" s="18"/>
      <x:c r="M17" s="18"/>
      <x:c r="N17" s="18"/>
      <x:c r="O17" s="17"/>
      <x:c r="P17" s="19"/>
      <x:c r="Q17" s="18"/>
      <x:c r="R17" s="20"/>
      <x:c r="S17" s="17"/>
      <x:c r="T17" s="18"/>
      <x:c r="U17" s="17"/>
      <x:c r="V17" s="17"/>
      <x:c r="W17" s="17"/>
      <x:c r="X17" s="17"/>
      <x:c r="Y17" s="17"/>
      <x:c r="Z17" s="17"/>
      <x:c r="AA17" s="21" t="str">
        <x:f>IF(COUNT(B17,M17)&lt;2,"",IF(M17&lt;B17,"Invalid dates",(M17-B17)*24))</x:f>
      </x:c>
    </x:row>
    <x:row r="18" ht="25" customHeight="1">
      <x:c r="A18" s="17"/>
      <x:c r="B18" s="18"/>
      <x:c r="C18" s="17"/>
      <x:c r="D18" s="17"/>
      <x:c r="E18" s="17"/>
      <x:c r="F18" s="17"/>
      <x:c r="G18" s="17"/>
      <x:c r="H18" s="17"/>
      <x:c r="I18" s="17"/>
      <x:c r="J18" s="17"/>
      <x:c r="K18" s="18"/>
      <x:c r="L18" s="18"/>
      <x:c r="M18" s="18"/>
      <x:c r="N18" s="18"/>
      <x:c r="O18" s="17"/>
      <x:c r="P18" s="19"/>
      <x:c r="Q18" s="18"/>
      <x:c r="R18" s="20"/>
      <x:c r="S18" s="17"/>
      <x:c r="T18" s="18"/>
      <x:c r="U18" s="17"/>
      <x:c r="V18" s="17"/>
      <x:c r="W18" s="17"/>
      <x:c r="X18" s="17"/>
      <x:c r="Y18" s="17"/>
      <x:c r="Z18" s="17"/>
      <x:c r="AA18" s="21" t="str">
        <x:f>IF(COUNT(B18,M18)&lt;2,"",IF(M18&lt;B18,"Invalid dates",(M18-B18)*24))</x:f>
      </x:c>
    </x:row>
    <x:row r="19" ht="25" customHeight="1">
      <x:c r="A19" s="17"/>
      <x:c r="B19" s="18"/>
      <x:c r="C19" s="17"/>
      <x:c r="D19" s="17"/>
      <x:c r="E19" s="17"/>
      <x:c r="F19" s="17"/>
      <x:c r="G19" s="17"/>
      <x:c r="H19" s="17"/>
      <x:c r="I19" s="17"/>
      <x:c r="J19" s="17"/>
      <x:c r="K19" s="18"/>
      <x:c r="L19" s="18"/>
      <x:c r="M19" s="18"/>
      <x:c r="N19" s="18"/>
      <x:c r="O19" s="17"/>
      <x:c r="P19" s="19"/>
      <x:c r="Q19" s="18"/>
      <x:c r="R19" s="20"/>
      <x:c r="S19" s="17"/>
      <x:c r="T19" s="18"/>
      <x:c r="U19" s="17"/>
      <x:c r="V19" s="17"/>
      <x:c r="W19" s="17"/>
      <x:c r="X19" s="17"/>
      <x:c r="Y19" s="17"/>
      <x:c r="Z19" s="17"/>
      <x:c r="AA19" s="21" t="str">
        <x:f>IF(COUNT(B19,M19)&lt;2,"",IF(M19&lt;B19,"Invalid dates",(M19-B19)*24))</x:f>
      </x:c>
    </x:row>
    <x:row r="20" ht="25" customHeight="1">
      <x:c r="A20" s="17"/>
      <x:c r="B20" s="18"/>
      <x:c r="C20" s="17"/>
      <x:c r="D20" s="17"/>
      <x:c r="E20" s="17"/>
      <x:c r="F20" s="17"/>
      <x:c r="G20" s="17"/>
      <x:c r="H20" s="17"/>
      <x:c r="I20" s="17"/>
      <x:c r="J20" s="17"/>
      <x:c r="K20" s="18"/>
      <x:c r="L20" s="18"/>
      <x:c r="M20" s="18"/>
      <x:c r="N20" s="18"/>
      <x:c r="O20" s="17"/>
      <x:c r="P20" s="19"/>
      <x:c r="Q20" s="18"/>
      <x:c r="R20" s="20"/>
      <x:c r="S20" s="17"/>
      <x:c r="T20" s="18"/>
      <x:c r="U20" s="17"/>
      <x:c r="V20" s="17"/>
      <x:c r="W20" s="17"/>
      <x:c r="X20" s="17"/>
      <x:c r="Y20" s="17"/>
      <x:c r="Z20" s="17"/>
      <x:c r="AA20" s="21" t="str">
        <x:f>IF(COUNT(B20,M20)&lt;2,"",IF(M20&lt;B20,"Invalid dates",(M20-B20)*24))</x:f>
      </x:c>
    </x:row>
    <x:row r="21" ht="25" customHeight="1">
      <x:c r="A21" s="17"/>
      <x:c r="B21" s="18"/>
      <x:c r="C21" s="17"/>
      <x:c r="D21" s="17"/>
      <x:c r="E21" s="17"/>
      <x:c r="F21" s="17"/>
      <x:c r="G21" s="17"/>
      <x:c r="H21" s="17"/>
      <x:c r="I21" s="17"/>
      <x:c r="J21" s="17"/>
      <x:c r="K21" s="18"/>
      <x:c r="L21" s="18"/>
      <x:c r="M21" s="18"/>
      <x:c r="N21" s="18"/>
      <x:c r="O21" s="17"/>
      <x:c r="P21" s="19"/>
      <x:c r="Q21" s="18"/>
      <x:c r="R21" s="20"/>
      <x:c r="S21" s="17"/>
      <x:c r="T21" s="18"/>
      <x:c r="U21" s="17"/>
      <x:c r="V21" s="17"/>
      <x:c r="W21" s="17"/>
      <x:c r="X21" s="17"/>
      <x:c r="Y21" s="17"/>
      <x:c r="Z21" s="17"/>
      <x:c r="AA21" s="21" t="str">
        <x:f>IF(COUNT(B21,M21)&lt;2,"",IF(M21&lt;B21,"Invalid dates",(M21-B21)*24))</x:f>
      </x:c>
    </x:row>
    <x:row r="22" ht="25" customHeight="1">
      <x:c r="A22" s="17"/>
      <x:c r="B22" s="18"/>
      <x:c r="C22" s="17"/>
      <x:c r="D22" s="17"/>
      <x:c r="E22" s="17"/>
      <x:c r="F22" s="17"/>
      <x:c r="G22" s="17"/>
      <x:c r="H22" s="17"/>
      <x:c r="I22" s="17"/>
      <x:c r="J22" s="17"/>
      <x:c r="K22" s="18"/>
      <x:c r="L22" s="18"/>
      <x:c r="M22" s="18"/>
      <x:c r="N22" s="18"/>
      <x:c r="O22" s="17"/>
      <x:c r="P22" s="19"/>
      <x:c r="Q22" s="18"/>
      <x:c r="R22" s="20"/>
      <x:c r="S22" s="17"/>
      <x:c r="T22" s="18"/>
      <x:c r="U22" s="17"/>
      <x:c r="V22" s="17"/>
      <x:c r="W22" s="17"/>
      <x:c r="X22" s="17"/>
      <x:c r="Y22" s="17"/>
      <x:c r="Z22" s="17"/>
      <x:c r="AA22" s="21" t="str">
        <x:f>IF(COUNT(B22,M22)&lt;2,"",IF(M22&lt;B22,"Invalid dates",(M22-B22)*24))</x:f>
      </x:c>
    </x:row>
    <x:row r="23" ht="25" customHeight="1">
      <x:c r="A23" s="17"/>
      <x:c r="B23" s="18"/>
      <x:c r="C23" s="17"/>
      <x:c r="D23" s="17"/>
      <x:c r="E23" s="17"/>
      <x:c r="F23" s="17"/>
      <x:c r="G23" s="17"/>
      <x:c r="H23" s="17"/>
      <x:c r="I23" s="17"/>
      <x:c r="J23" s="17"/>
      <x:c r="K23" s="18"/>
      <x:c r="L23" s="18"/>
      <x:c r="M23" s="18"/>
      <x:c r="N23" s="18"/>
      <x:c r="O23" s="17"/>
      <x:c r="P23" s="19"/>
      <x:c r="Q23" s="18"/>
      <x:c r="R23" s="20"/>
      <x:c r="S23" s="17"/>
      <x:c r="T23" s="18"/>
      <x:c r="U23" s="17"/>
      <x:c r="V23" s="17"/>
      <x:c r="W23" s="17"/>
      <x:c r="X23" s="17"/>
      <x:c r="Y23" s="17"/>
      <x:c r="Z23" s="17"/>
      <x:c r="AA23" s="21" t="str">
        <x:f>IF(COUNT(B23,M23)&lt;2,"",IF(M23&lt;B23,"Invalid dates",(M23-B23)*24))</x:f>
      </x:c>
    </x:row>
    <x:row r="24" ht="25" customHeight="1">
      <x:c r="A24" s="17"/>
      <x:c r="B24" s="18"/>
      <x:c r="C24" s="17"/>
      <x:c r="D24" s="17"/>
      <x:c r="E24" s="17"/>
      <x:c r="F24" s="17"/>
      <x:c r="G24" s="17"/>
      <x:c r="H24" s="17"/>
      <x:c r="I24" s="17"/>
      <x:c r="J24" s="17"/>
      <x:c r="K24" s="18"/>
      <x:c r="L24" s="18"/>
      <x:c r="M24" s="18"/>
      <x:c r="N24" s="18"/>
      <x:c r="O24" s="17"/>
      <x:c r="P24" s="19"/>
      <x:c r="Q24" s="18"/>
      <x:c r="R24" s="20"/>
      <x:c r="S24" s="17"/>
      <x:c r="T24" s="18"/>
      <x:c r="U24" s="17"/>
      <x:c r="V24" s="17"/>
      <x:c r="W24" s="17"/>
      <x:c r="X24" s="17"/>
      <x:c r="Y24" s="17"/>
      <x:c r="Z24" s="17"/>
      <x:c r="AA24" s="21" t="str">
        <x:f>IF(COUNT(B24,M24)&lt;2,"",IF(M24&lt;B24,"Invalid dates",(M24-B24)*24))</x:f>
      </x:c>
    </x:row>
    <x:row r="25" ht="25" customHeight="1">
      <x:c r="A25" s="17"/>
      <x:c r="B25" s="18"/>
      <x:c r="C25" s="17"/>
      <x:c r="D25" s="17"/>
      <x:c r="E25" s="17"/>
      <x:c r="F25" s="17"/>
      <x:c r="G25" s="17"/>
      <x:c r="H25" s="17"/>
      <x:c r="I25" s="17"/>
      <x:c r="J25" s="17"/>
      <x:c r="K25" s="18"/>
      <x:c r="L25" s="18"/>
      <x:c r="M25" s="18"/>
      <x:c r="N25" s="18"/>
      <x:c r="O25" s="17"/>
      <x:c r="P25" s="19"/>
      <x:c r="Q25" s="18"/>
      <x:c r="R25" s="20"/>
      <x:c r="S25" s="17"/>
      <x:c r="T25" s="18"/>
      <x:c r="U25" s="17"/>
      <x:c r="V25" s="17"/>
      <x:c r="W25" s="17"/>
      <x:c r="X25" s="17"/>
      <x:c r="Y25" s="17"/>
      <x:c r="Z25" s="17"/>
      <x:c r="AA25" s="21" t="str">
        <x:f>IF(COUNT(B25,M25)&lt;2,"",IF(M25&lt;B25,"Invalid dates",(M25-B25)*24))</x:f>
      </x:c>
    </x:row>
    <x:row r="26" ht="25" customHeight="1">
      <x:c r="A26" s="17"/>
      <x:c r="B26" s="18"/>
      <x:c r="C26" s="17"/>
      <x:c r="D26" s="17"/>
      <x:c r="E26" s="17"/>
      <x:c r="F26" s="17"/>
      <x:c r="G26" s="17"/>
      <x:c r="H26" s="17"/>
      <x:c r="I26" s="17"/>
      <x:c r="J26" s="17"/>
      <x:c r="K26" s="18"/>
      <x:c r="L26" s="18"/>
      <x:c r="M26" s="18"/>
      <x:c r="N26" s="18"/>
      <x:c r="O26" s="17"/>
      <x:c r="P26" s="19"/>
      <x:c r="Q26" s="18"/>
      <x:c r="R26" s="20"/>
      <x:c r="S26" s="17"/>
      <x:c r="T26" s="18"/>
      <x:c r="U26" s="17"/>
      <x:c r="V26" s="17"/>
      <x:c r="W26" s="17"/>
      <x:c r="X26" s="17"/>
      <x:c r="Y26" s="17"/>
      <x:c r="Z26" s="17"/>
      <x:c r="AA26" s="21" t="str">
        <x:f>IF(COUNT(B26,M26)&lt;2,"",IF(M26&lt;B26,"Invalid dates",(M26-B26)*24))</x:f>
      </x:c>
    </x:row>
    <x:row r="27" ht="25" customHeight="1">
      <x:c r="A27" s="17"/>
      <x:c r="B27" s="18"/>
      <x:c r="C27" s="17"/>
      <x:c r="D27" s="17"/>
      <x:c r="E27" s="17"/>
      <x:c r="F27" s="17"/>
      <x:c r="G27" s="17"/>
      <x:c r="H27" s="17"/>
      <x:c r="I27" s="17"/>
      <x:c r="J27" s="17"/>
      <x:c r="K27" s="18"/>
      <x:c r="L27" s="18"/>
      <x:c r="M27" s="18"/>
      <x:c r="N27" s="18"/>
      <x:c r="O27" s="17"/>
      <x:c r="P27" s="19"/>
      <x:c r="Q27" s="18"/>
      <x:c r="R27" s="20"/>
      <x:c r="S27" s="17"/>
      <x:c r="T27" s="18"/>
      <x:c r="U27" s="17"/>
      <x:c r="V27" s="17"/>
      <x:c r="W27" s="17"/>
      <x:c r="X27" s="17"/>
      <x:c r="Y27" s="17"/>
      <x:c r="Z27" s="17"/>
      <x:c r="AA27" s="21" t="str">
        <x:f>IF(COUNT(B27,M27)&lt;2,"",IF(M27&lt;B27,"Invalid dates",(M27-B27)*24))</x:f>
      </x:c>
    </x:row>
    <x:row r="28" ht="25" customHeight="1">
      <x:c r="A28" s="17"/>
      <x:c r="B28" s="18"/>
      <x:c r="C28" s="17"/>
      <x:c r="D28" s="17"/>
      <x:c r="E28" s="17"/>
      <x:c r="F28" s="17"/>
      <x:c r="G28" s="17"/>
      <x:c r="H28" s="17"/>
      <x:c r="I28" s="17"/>
      <x:c r="J28" s="17"/>
      <x:c r="K28" s="18"/>
      <x:c r="L28" s="18"/>
      <x:c r="M28" s="18"/>
      <x:c r="N28" s="18"/>
      <x:c r="O28" s="17"/>
      <x:c r="P28" s="19"/>
      <x:c r="Q28" s="18"/>
      <x:c r="R28" s="20"/>
      <x:c r="S28" s="17"/>
      <x:c r="T28" s="18"/>
      <x:c r="U28" s="17"/>
      <x:c r="V28" s="17"/>
      <x:c r="W28" s="17"/>
      <x:c r="X28" s="17"/>
      <x:c r="Y28" s="17"/>
      <x:c r="Z28" s="17"/>
      <x:c r="AA28" s="21" t="str">
        <x:f>IF(COUNT(B28,M28)&lt;2,"",IF(M28&lt;B28,"Invalid dates",(M28-B28)*24))</x:f>
      </x:c>
    </x:row>
    <x:row r="29" ht="25" customHeight="1">
      <x:c r="A29" s="17"/>
      <x:c r="B29" s="18"/>
      <x:c r="C29" s="17"/>
      <x:c r="D29" s="17"/>
      <x:c r="E29" s="17"/>
      <x:c r="F29" s="17"/>
      <x:c r="G29" s="17"/>
      <x:c r="H29" s="17"/>
      <x:c r="I29" s="17"/>
      <x:c r="J29" s="17"/>
      <x:c r="K29" s="18"/>
      <x:c r="L29" s="18"/>
      <x:c r="M29" s="18"/>
      <x:c r="N29" s="18"/>
      <x:c r="O29" s="17"/>
      <x:c r="P29" s="19"/>
      <x:c r="Q29" s="18"/>
      <x:c r="R29" s="20"/>
      <x:c r="S29" s="17"/>
      <x:c r="T29" s="18"/>
      <x:c r="U29" s="17"/>
      <x:c r="V29" s="17"/>
      <x:c r="W29" s="17"/>
      <x:c r="X29" s="17"/>
      <x:c r="Y29" s="17"/>
      <x:c r="Z29" s="17"/>
      <x:c r="AA29" s="21" t="str">
        <x:f>IF(COUNT(B29,M29)&lt;2,"",IF(M29&lt;B29,"Invalid dates",(M29-B29)*24))</x:f>
      </x:c>
    </x:row>
    <x:row r="30" ht="25" customHeight="1">
      <x:c r="A30" s="17"/>
      <x:c r="B30" s="18"/>
      <x:c r="C30" s="17"/>
      <x:c r="D30" s="17"/>
      <x:c r="E30" s="17"/>
      <x:c r="F30" s="17"/>
      <x:c r="G30" s="17"/>
      <x:c r="H30" s="17"/>
      <x:c r="I30" s="17"/>
      <x:c r="J30" s="17"/>
      <x:c r="K30" s="18"/>
      <x:c r="L30" s="18"/>
      <x:c r="M30" s="18"/>
      <x:c r="N30" s="18"/>
      <x:c r="O30" s="17"/>
      <x:c r="P30" s="19"/>
      <x:c r="Q30" s="18"/>
      <x:c r="R30" s="20"/>
      <x:c r="S30" s="17"/>
      <x:c r="T30" s="18"/>
      <x:c r="U30" s="17"/>
      <x:c r="V30" s="17"/>
      <x:c r="W30" s="17"/>
      <x:c r="X30" s="17"/>
      <x:c r="Y30" s="17"/>
      <x:c r="Z30" s="17"/>
      <x:c r="AA30" s="21" t="str">
        <x:f>IF(COUNT(B30,M30)&lt;2,"",IF(M30&lt;B30,"Invalid dates",(M30-B30)*24))</x:f>
      </x:c>
    </x:row>
    <x:row r="31" ht="25" customHeight="1">
      <x:c r="A31" s="17"/>
      <x:c r="B31" s="18"/>
      <x:c r="C31" s="17"/>
      <x:c r="D31" s="17"/>
      <x:c r="E31" s="17"/>
      <x:c r="F31" s="17"/>
      <x:c r="G31" s="17"/>
      <x:c r="H31" s="17"/>
      <x:c r="I31" s="17"/>
      <x:c r="J31" s="17"/>
      <x:c r="K31" s="18"/>
      <x:c r="L31" s="18"/>
      <x:c r="M31" s="18"/>
      <x:c r="N31" s="18"/>
      <x:c r="O31" s="17"/>
      <x:c r="P31" s="19"/>
      <x:c r="Q31" s="18"/>
      <x:c r="R31" s="20"/>
      <x:c r="S31" s="17"/>
      <x:c r="T31" s="18"/>
      <x:c r="U31" s="17"/>
      <x:c r="V31" s="17"/>
      <x:c r="W31" s="17"/>
      <x:c r="X31" s="17"/>
      <x:c r="Y31" s="17"/>
      <x:c r="Z31" s="17"/>
      <x:c r="AA31" s="21" t="str">
        <x:f>IF(COUNT(B31,M31)&lt;2,"",IF(M31&lt;B31,"Invalid dates",(M31-B31)*24))</x:f>
      </x:c>
    </x:row>
    <x:row r="32" ht="25" customHeight="1">
      <x:c r="A32" s="17"/>
      <x:c r="B32" s="18"/>
      <x:c r="C32" s="17"/>
      <x:c r="D32" s="17"/>
      <x:c r="E32" s="17"/>
      <x:c r="F32" s="17"/>
      <x:c r="G32" s="17"/>
      <x:c r="H32" s="17"/>
      <x:c r="I32" s="17"/>
      <x:c r="J32" s="17"/>
      <x:c r="K32" s="18"/>
      <x:c r="L32" s="18"/>
      <x:c r="M32" s="18"/>
      <x:c r="N32" s="18"/>
      <x:c r="O32" s="17"/>
      <x:c r="P32" s="19"/>
      <x:c r="Q32" s="18"/>
      <x:c r="R32" s="20"/>
      <x:c r="S32" s="17"/>
      <x:c r="T32" s="18"/>
      <x:c r="U32" s="17"/>
      <x:c r="V32" s="17"/>
      <x:c r="W32" s="17"/>
      <x:c r="X32" s="17"/>
      <x:c r="Y32" s="17"/>
      <x:c r="Z32" s="17"/>
      <x:c r="AA32" s="21" t="str">
        <x:f>IF(COUNT(B32,M32)&lt;2,"",IF(M32&lt;B32,"Invalid dates",(M32-B32)*24))</x:f>
      </x:c>
    </x:row>
    <x:row r="33" ht="25" customHeight="1">
      <x:c r="A33" s="17"/>
      <x:c r="B33" s="18"/>
      <x:c r="C33" s="17"/>
      <x:c r="D33" s="17"/>
      <x:c r="E33" s="17"/>
      <x:c r="F33" s="17"/>
      <x:c r="G33" s="17"/>
      <x:c r="H33" s="17"/>
      <x:c r="I33" s="17"/>
      <x:c r="J33" s="17"/>
      <x:c r="K33" s="18"/>
      <x:c r="L33" s="18"/>
      <x:c r="M33" s="18"/>
      <x:c r="N33" s="18"/>
      <x:c r="O33" s="17"/>
      <x:c r="P33" s="19"/>
      <x:c r="Q33" s="18"/>
      <x:c r="R33" s="20"/>
      <x:c r="S33" s="17"/>
      <x:c r="T33" s="18"/>
      <x:c r="U33" s="17"/>
      <x:c r="V33" s="17"/>
      <x:c r="W33" s="17"/>
      <x:c r="X33" s="17"/>
      <x:c r="Y33" s="17"/>
      <x:c r="Z33" s="17"/>
      <x:c r="AA33" s="21" t="str">
        <x:f>IF(COUNT(B33,M33)&lt;2,"",IF(M33&lt;B33,"Invalid dates",(M33-B33)*24))</x:f>
      </x:c>
    </x:row>
    <x:row r="34" ht="25" customHeight="1">
      <x:c r="A34" s="17"/>
      <x:c r="B34" s="18"/>
      <x:c r="C34" s="17"/>
      <x:c r="D34" s="17"/>
      <x:c r="E34" s="17"/>
      <x:c r="F34" s="17"/>
      <x:c r="G34" s="17"/>
      <x:c r="H34" s="17"/>
      <x:c r="I34" s="17"/>
      <x:c r="J34" s="17"/>
      <x:c r="K34" s="18"/>
      <x:c r="L34" s="18"/>
      <x:c r="M34" s="18"/>
      <x:c r="N34" s="18"/>
      <x:c r="O34" s="17"/>
      <x:c r="P34" s="19"/>
      <x:c r="Q34" s="18"/>
      <x:c r="R34" s="20"/>
      <x:c r="S34" s="17"/>
      <x:c r="T34" s="18"/>
      <x:c r="U34" s="17"/>
      <x:c r="V34" s="17"/>
      <x:c r="W34" s="17"/>
      <x:c r="X34" s="17"/>
      <x:c r="Y34" s="17"/>
      <x:c r="Z34" s="17"/>
      <x:c r="AA34" s="21" t="str">
        <x:f>IF(COUNT(B34,M34)&lt;2,"",IF(M34&lt;B34,"Invalid dates",(M34-B34)*24))</x:f>
      </x:c>
    </x:row>
    <x:row r="35" ht="25" customHeight="1">
      <x:c r="A35" s="17"/>
      <x:c r="B35" s="18"/>
      <x:c r="C35" s="17"/>
      <x:c r="D35" s="17"/>
      <x:c r="E35" s="17"/>
      <x:c r="F35" s="17"/>
      <x:c r="G35" s="17"/>
      <x:c r="H35" s="17"/>
      <x:c r="I35" s="17"/>
      <x:c r="J35" s="17"/>
      <x:c r="K35" s="18"/>
      <x:c r="L35" s="18"/>
      <x:c r="M35" s="18"/>
      <x:c r="N35" s="18"/>
      <x:c r="O35" s="17"/>
      <x:c r="P35" s="19"/>
      <x:c r="Q35" s="18"/>
      <x:c r="R35" s="20"/>
      <x:c r="S35" s="17"/>
      <x:c r="T35" s="18"/>
      <x:c r="U35" s="17"/>
      <x:c r="V35" s="17"/>
      <x:c r="W35" s="17"/>
      <x:c r="X35" s="17"/>
      <x:c r="Y35" s="17"/>
      <x:c r="Z35" s="17"/>
      <x:c r="AA35" s="21" t="str">
        <x:f>IF(COUNT(B35,M35)&lt;2,"",IF(M35&lt;B35,"Invalid dates",(M35-B35)*24))</x:f>
      </x:c>
    </x:row>
    <x:row r="36" ht="25" customHeight="1">
      <x:c r="A36" s="17"/>
      <x:c r="B36" s="18"/>
      <x:c r="C36" s="17"/>
      <x:c r="D36" s="17"/>
      <x:c r="E36" s="17"/>
      <x:c r="F36" s="17"/>
      <x:c r="G36" s="17"/>
      <x:c r="H36" s="17"/>
      <x:c r="I36" s="17"/>
      <x:c r="J36" s="17"/>
      <x:c r="K36" s="18"/>
      <x:c r="L36" s="18"/>
      <x:c r="M36" s="18"/>
      <x:c r="N36" s="18"/>
      <x:c r="O36" s="17"/>
      <x:c r="P36" s="19"/>
      <x:c r="Q36" s="18"/>
      <x:c r="R36" s="20"/>
      <x:c r="S36" s="17"/>
      <x:c r="T36" s="18"/>
      <x:c r="U36" s="17"/>
      <x:c r="V36" s="17"/>
      <x:c r="W36" s="17"/>
      <x:c r="X36" s="17"/>
      <x:c r="Y36" s="17"/>
      <x:c r="Z36" s="17"/>
      <x:c r="AA36" s="21" t="str">
        <x:f>IF(COUNT(B36,M36)&lt;2,"",IF(M36&lt;B36,"Invalid dates",(M36-B36)*24))</x:f>
      </x:c>
    </x:row>
    <x:row r="37" ht="25" customHeight="1">
      <x:c r="A37" s="17"/>
      <x:c r="B37" s="18"/>
      <x:c r="C37" s="17"/>
      <x:c r="D37" s="17"/>
      <x:c r="E37" s="17"/>
      <x:c r="F37" s="17"/>
      <x:c r="G37" s="17"/>
      <x:c r="H37" s="17"/>
      <x:c r="I37" s="17"/>
      <x:c r="J37" s="17"/>
      <x:c r="K37" s="18"/>
      <x:c r="L37" s="18"/>
      <x:c r="M37" s="18"/>
      <x:c r="N37" s="18"/>
      <x:c r="O37" s="17"/>
      <x:c r="P37" s="19"/>
      <x:c r="Q37" s="18"/>
      <x:c r="R37" s="20"/>
      <x:c r="S37" s="17"/>
      <x:c r="T37" s="18"/>
      <x:c r="U37" s="17"/>
      <x:c r="V37" s="17"/>
      <x:c r="W37" s="17"/>
      <x:c r="X37" s="17"/>
      <x:c r="Y37" s="17"/>
      <x:c r="Z37" s="17"/>
      <x:c r="AA37" s="21" t="str">
        <x:f>IF(COUNT(B37,M37)&lt;2,"",IF(M37&lt;B37,"Invalid dates",(M37-B37)*24))</x:f>
      </x:c>
    </x:row>
    <x:row r="38" ht="25" customHeight="1">
      <x:c r="A38" s="17"/>
      <x:c r="B38" s="18"/>
      <x:c r="C38" s="17"/>
      <x:c r="D38" s="17"/>
      <x:c r="E38" s="17"/>
      <x:c r="F38" s="17"/>
      <x:c r="G38" s="17"/>
      <x:c r="H38" s="17"/>
      <x:c r="I38" s="17"/>
      <x:c r="J38" s="17"/>
      <x:c r="K38" s="18"/>
      <x:c r="L38" s="18"/>
      <x:c r="M38" s="18"/>
      <x:c r="N38" s="18"/>
      <x:c r="O38" s="17"/>
      <x:c r="P38" s="19"/>
      <x:c r="Q38" s="18"/>
      <x:c r="R38" s="20"/>
      <x:c r="S38" s="17"/>
      <x:c r="T38" s="18"/>
      <x:c r="U38" s="17"/>
      <x:c r="V38" s="17"/>
      <x:c r="W38" s="17"/>
      <x:c r="X38" s="17"/>
      <x:c r="Y38" s="17"/>
      <x:c r="Z38" s="17"/>
      <x:c r="AA38" s="21" t="str">
        <x:f>IF(COUNT(B38,M38)&lt;2,"",IF(M38&lt;B38,"Invalid dates",(M38-B38)*24))</x:f>
      </x:c>
    </x:row>
    <x:row r="39" ht="25" customHeight="1">
      <x:c r="A39" s="17"/>
      <x:c r="B39" s="18"/>
      <x:c r="C39" s="17"/>
      <x:c r="D39" s="17"/>
      <x:c r="E39" s="17"/>
      <x:c r="F39" s="17"/>
      <x:c r="G39" s="17"/>
      <x:c r="H39" s="17"/>
      <x:c r="I39" s="17"/>
      <x:c r="J39" s="17"/>
      <x:c r="K39" s="18"/>
      <x:c r="L39" s="18"/>
      <x:c r="M39" s="18"/>
      <x:c r="N39" s="18"/>
      <x:c r="O39" s="17"/>
      <x:c r="P39" s="19"/>
      <x:c r="Q39" s="18"/>
      <x:c r="R39" s="20"/>
      <x:c r="S39" s="17"/>
      <x:c r="T39" s="18"/>
      <x:c r="U39" s="17"/>
      <x:c r="V39" s="17"/>
      <x:c r="W39" s="17"/>
      <x:c r="X39" s="17"/>
      <x:c r="Y39" s="17"/>
      <x:c r="Z39" s="17"/>
      <x:c r="AA39" s="21" t="str">
        <x:f>IF(COUNT(B39,M39)&lt;2,"",IF(M39&lt;B39,"Invalid dates",(M39-B39)*24))</x:f>
      </x:c>
    </x:row>
    <x:row r="40" ht="25" customHeight="1">
      <x:c r="A40" s="17"/>
      <x:c r="B40" s="18"/>
      <x:c r="C40" s="17"/>
      <x:c r="D40" s="17"/>
      <x:c r="E40" s="17"/>
      <x:c r="F40" s="17"/>
      <x:c r="G40" s="17"/>
      <x:c r="H40" s="17"/>
      <x:c r="I40" s="17"/>
      <x:c r="J40" s="17"/>
      <x:c r="K40" s="18"/>
      <x:c r="L40" s="18"/>
      <x:c r="M40" s="18"/>
      <x:c r="N40" s="18"/>
      <x:c r="O40" s="17"/>
      <x:c r="P40" s="19"/>
      <x:c r="Q40" s="18"/>
      <x:c r="R40" s="20"/>
      <x:c r="S40" s="17"/>
      <x:c r="T40" s="18"/>
      <x:c r="U40" s="17"/>
      <x:c r="V40" s="17"/>
      <x:c r="W40" s="17"/>
      <x:c r="X40" s="17"/>
      <x:c r="Y40" s="17"/>
      <x:c r="Z40" s="17"/>
      <x:c r="AA40" s="21" t="str">
        <x:f>IF(COUNT(B40,M40)&lt;2,"",IF(M40&lt;B40,"Invalid dates",(M40-B40)*24))</x:f>
      </x:c>
    </x:row>
    <x:row r="41" ht="25" customHeight="1">
      <x:c r="A41" s="17"/>
      <x:c r="B41" s="18"/>
      <x:c r="C41" s="17"/>
      <x:c r="D41" s="17"/>
      <x:c r="E41" s="17"/>
      <x:c r="F41" s="17"/>
      <x:c r="G41" s="17"/>
      <x:c r="H41" s="17"/>
      <x:c r="I41" s="17"/>
      <x:c r="J41" s="17"/>
      <x:c r="K41" s="18"/>
      <x:c r="L41" s="18"/>
      <x:c r="M41" s="18"/>
      <x:c r="N41" s="18"/>
      <x:c r="O41" s="17"/>
      <x:c r="P41" s="19"/>
      <x:c r="Q41" s="18"/>
      <x:c r="R41" s="20"/>
      <x:c r="S41" s="17"/>
      <x:c r="T41" s="18"/>
      <x:c r="U41" s="17"/>
      <x:c r="V41" s="17"/>
      <x:c r="W41" s="17"/>
      <x:c r="X41" s="17"/>
      <x:c r="Y41" s="17"/>
      <x:c r="Z41" s="17"/>
      <x:c r="AA41" s="21" t="str">
        <x:f>IF(COUNT(B41,M41)&lt;2,"",IF(M41&lt;B41,"Invalid dates",(M41-B41)*24))</x:f>
      </x:c>
    </x:row>
    <x:row r="42" ht="25" customHeight="1">
      <x:c r="A42" s="17"/>
      <x:c r="B42" s="18"/>
      <x:c r="C42" s="17"/>
      <x:c r="D42" s="17"/>
      <x:c r="E42" s="17"/>
      <x:c r="F42" s="17"/>
      <x:c r="G42" s="17"/>
      <x:c r="H42" s="17"/>
      <x:c r="I42" s="17"/>
      <x:c r="J42" s="17"/>
      <x:c r="K42" s="18"/>
      <x:c r="L42" s="18"/>
      <x:c r="M42" s="18"/>
      <x:c r="N42" s="18"/>
      <x:c r="O42" s="17"/>
      <x:c r="P42" s="19"/>
      <x:c r="Q42" s="18"/>
      <x:c r="R42" s="20"/>
      <x:c r="S42" s="17"/>
      <x:c r="T42" s="18"/>
      <x:c r="U42" s="17"/>
      <x:c r="V42" s="17"/>
      <x:c r="W42" s="17"/>
      <x:c r="X42" s="17"/>
      <x:c r="Y42" s="17"/>
      <x:c r="Z42" s="17"/>
      <x:c r="AA42" s="21" t="str">
        <x:f>IF(COUNT(B42,M42)&lt;2,"",IF(M42&lt;B42,"Invalid dates",(M42-B42)*24))</x:f>
      </x:c>
    </x:row>
    <x:row r="43" ht="25" customHeight="1">
      <x:c r="A43" s="17"/>
      <x:c r="B43" s="18"/>
      <x:c r="C43" s="17"/>
      <x:c r="D43" s="17"/>
      <x:c r="E43" s="17"/>
      <x:c r="F43" s="17"/>
      <x:c r="G43" s="17"/>
      <x:c r="H43" s="17"/>
      <x:c r="I43" s="17"/>
      <x:c r="J43" s="17"/>
      <x:c r="K43" s="18"/>
      <x:c r="L43" s="18"/>
      <x:c r="M43" s="18"/>
      <x:c r="N43" s="18"/>
      <x:c r="O43" s="17"/>
      <x:c r="P43" s="19"/>
      <x:c r="Q43" s="18"/>
      <x:c r="R43" s="20"/>
      <x:c r="S43" s="17"/>
      <x:c r="T43" s="18"/>
      <x:c r="U43" s="17"/>
      <x:c r="V43" s="17"/>
      <x:c r="W43" s="17"/>
      <x:c r="X43" s="17"/>
      <x:c r="Y43" s="17"/>
      <x:c r="Z43" s="17"/>
      <x:c r="AA43" s="21" t="str">
        <x:f>IF(COUNT(B43,M43)&lt;2,"",IF(M43&lt;B43,"Invalid dates",(M43-B43)*24))</x:f>
      </x:c>
    </x:row>
    <x:row r="44" ht="25" customHeight="1">
      <x:c r="A44" s="17"/>
      <x:c r="B44" s="18"/>
      <x:c r="C44" s="17"/>
      <x:c r="D44" s="17"/>
      <x:c r="E44" s="17"/>
      <x:c r="F44" s="17"/>
      <x:c r="G44" s="17"/>
      <x:c r="H44" s="17"/>
      <x:c r="I44" s="17"/>
      <x:c r="J44" s="17"/>
      <x:c r="K44" s="18"/>
      <x:c r="L44" s="18"/>
      <x:c r="M44" s="18"/>
      <x:c r="N44" s="18"/>
      <x:c r="O44" s="17"/>
      <x:c r="P44" s="19"/>
      <x:c r="Q44" s="18"/>
      <x:c r="R44" s="20"/>
      <x:c r="S44" s="17"/>
      <x:c r="T44" s="18"/>
      <x:c r="U44" s="17"/>
      <x:c r="V44" s="17"/>
      <x:c r="W44" s="17"/>
      <x:c r="X44" s="17"/>
      <x:c r="Y44" s="17"/>
      <x:c r="Z44" s="17"/>
      <x:c r="AA44" s="21" t="str">
        <x:f>IF(COUNT(B44,M44)&lt;2,"",IF(M44&lt;B44,"Invalid dates",(M44-B44)*24))</x:f>
      </x:c>
    </x:row>
    <x:row r="45" ht="25" customHeight="1">
      <x:c r="A45" s="17"/>
      <x:c r="B45" s="18"/>
      <x:c r="C45" s="17"/>
      <x:c r="D45" s="17"/>
      <x:c r="E45" s="17"/>
      <x:c r="F45" s="17"/>
      <x:c r="G45" s="17"/>
      <x:c r="H45" s="17"/>
      <x:c r="I45" s="17"/>
      <x:c r="J45" s="17"/>
      <x:c r="K45" s="18"/>
      <x:c r="L45" s="18"/>
      <x:c r="M45" s="18"/>
      <x:c r="N45" s="18"/>
      <x:c r="O45" s="17"/>
      <x:c r="P45" s="19"/>
      <x:c r="Q45" s="18"/>
      <x:c r="R45" s="20"/>
      <x:c r="S45" s="17"/>
      <x:c r="T45" s="18"/>
      <x:c r="U45" s="17"/>
      <x:c r="V45" s="17"/>
      <x:c r="W45" s="17"/>
      <x:c r="X45" s="17"/>
      <x:c r="Y45" s="17"/>
      <x:c r="Z45" s="17"/>
      <x:c r="AA45" s="21" t="str">
        <x:f>IF(COUNT(B45,M45)&lt;2,"",IF(M45&lt;B45,"Invalid dates",(M45-B45)*24))</x:f>
      </x:c>
    </x:row>
    <x:row r="46" ht="25" customHeight="1">
      <x:c r="A46" s="17"/>
      <x:c r="B46" s="18"/>
      <x:c r="C46" s="17"/>
      <x:c r="D46" s="17"/>
      <x:c r="E46" s="17"/>
      <x:c r="F46" s="17"/>
      <x:c r="G46" s="17"/>
      <x:c r="H46" s="17"/>
      <x:c r="I46" s="17"/>
      <x:c r="J46" s="17"/>
      <x:c r="K46" s="18"/>
      <x:c r="L46" s="18"/>
      <x:c r="M46" s="18"/>
      <x:c r="N46" s="18"/>
      <x:c r="O46" s="17"/>
      <x:c r="P46" s="19"/>
      <x:c r="Q46" s="18"/>
      <x:c r="R46" s="20"/>
      <x:c r="S46" s="17"/>
      <x:c r="T46" s="18"/>
      <x:c r="U46" s="17"/>
      <x:c r="V46" s="17"/>
      <x:c r="W46" s="17"/>
      <x:c r="X46" s="17"/>
      <x:c r="Y46" s="17"/>
      <x:c r="Z46" s="17"/>
      <x:c r="AA46" s="21" t="str">
        <x:f>IF(COUNT(B46,M46)&lt;2,"",IF(M46&lt;B46,"Invalid dates",(M46-B46)*24))</x:f>
      </x:c>
    </x:row>
    <x:row r="47" ht="25" customHeight="1">
      <x:c r="A47" s="17"/>
      <x:c r="B47" s="18"/>
      <x:c r="C47" s="17"/>
      <x:c r="D47" s="17"/>
      <x:c r="E47" s="17"/>
      <x:c r="F47" s="17"/>
      <x:c r="G47" s="17"/>
      <x:c r="H47" s="17"/>
      <x:c r="I47" s="17"/>
      <x:c r="J47" s="17"/>
      <x:c r="K47" s="18"/>
      <x:c r="L47" s="18"/>
      <x:c r="M47" s="18"/>
      <x:c r="N47" s="18"/>
      <x:c r="O47" s="17"/>
      <x:c r="P47" s="19"/>
      <x:c r="Q47" s="18"/>
      <x:c r="R47" s="20"/>
      <x:c r="S47" s="17"/>
      <x:c r="T47" s="18"/>
      <x:c r="U47" s="17"/>
      <x:c r="V47" s="17"/>
      <x:c r="W47" s="17"/>
      <x:c r="X47" s="17"/>
      <x:c r="Y47" s="17"/>
      <x:c r="Z47" s="17"/>
      <x:c r="AA47" s="21" t="str">
        <x:f>IF(COUNT(B47,M47)&lt;2,"",IF(M47&lt;B47,"Invalid dates",(M47-B47)*24))</x:f>
      </x:c>
    </x:row>
    <x:row r="48" ht="25" customHeight="1">
      <x:c r="A48" s="17"/>
      <x:c r="B48" s="18"/>
      <x:c r="C48" s="17"/>
      <x:c r="D48" s="17"/>
      <x:c r="E48" s="17"/>
      <x:c r="F48" s="17"/>
      <x:c r="G48" s="17"/>
      <x:c r="H48" s="17"/>
      <x:c r="I48" s="17"/>
      <x:c r="J48" s="17"/>
      <x:c r="K48" s="18"/>
      <x:c r="L48" s="18"/>
      <x:c r="M48" s="18"/>
      <x:c r="N48" s="18"/>
      <x:c r="O48" s="17"/>
      <x:c r="P48" s="19"/>
      <x:c r="Q48" s="18"/>
      <x:c r="R48" s="20"/>
      <x:c r="S48" s="17"/>
      <x:c r="T48" s="18"/>
      <x:c r="U48" s="17"/>
      <x:c r="V48" s="17"/>
      <x:c r="W48" s="17"/>
      <x:c r="X48" s="17"/>
      <x:c r="Y48" s="17"/>
      <x:c r="Z48" s="17"/>
      <x:c r="AA48" s="21" t="str">
        <x:f>IF(COUNT(B48,M48)&lt;2,"",IF(M48&lt;B48,"Invalid dates",(M48-B48)*24))</x:f>
      </x:c>
    </x:row>
    <x:row r="49" ht="25" customHeight="1">
      <x:c r="A49" s="17"/>
      <x:c r="B49" s="18"/>
      <x:c r="C49" s="17"/>
      <x:c r="D49" s="17"/>
      <x:c r="E49" s="17"/>
      <x:c r="F49" s="17"/>
      <x:c r="G49" s="17"/>
      <x:c r="H49" s="17"/>
      <x:c r="I49" s="17"/>
      <x:c r="J49" s="17"/>
      <x:c r="K49" s="18"/>
      <x:c r="L49" s="18"/>
      <x:c r="M49" s="18"/>
      <x:c r="N49" s="18"/>
      <x:c r="O49" s="17"/>
      <x:c r="P49" s="19"/>
      <x:c r="Q49" s="18"/>
      <x:c r="R49" s="20"/>
      <x:c r="S49" s="17"/>
      <x:c r="T49" s="18"/>
      <x:c r="U49" s="17"/>
      <x:c r="V49" s="17"/>
      <x:c r="W49" s="17"/>
      <x:c r="X49" s="17"/>
      <x:c r="Y49" s="17"/>
      <x:c r="Z49" s="17"/>
      <x:c r="AA49" s="21" t="str">
        <x:f>IF(COUNT(B49,M49)&lt;2,"",IF(M49&lt;B49,"Invalid dates",(M49-B49)*24))</x:f>
      </x:c>
    </x:row>
    <x:row r="50" ht="25" customHeight="1">
      <x:c r="A50" s="17"/>
      <x:c r="B50" s="18"/>
      <x:c r="C50" s="17"/>
      <x:c r="D50" s="17"/>
      <x:c r="E50" s="17"/>
      <x:c r="F50" s="17"/>
      <x:c r="G50" s="17"/>
      <x:c r="H50" s="17"/>
      <x:c r="I50" s="17"/>
      <x:c r="J50" s="17"/>
      <x:c r="K50" s="18"/>
      <x:c r="L50" s="18"/>
      <x:c r="M50" s="18"/>
      <x:c r="N50" s="18"/>
      <x:c r="O50" s="17"/>
      <x:c r="P50" s="19"/>
      <x:c r="Q50" s="18"/>
      <x:c r="R50" s="20"/>
      <x:c r="S50" s="17"/>
      <x:c r="T50" s="18"/>
      <x:c r="U50" s="17"/>
      <x:c r="V50" s="17"/>
      <x:c r="W50" s="17"/>
      <x:c r="X50" s="17"/>
      <x:c r="Y50" s="17"/>
      <x:c r="Z50" s="17"/>
      <x:c r="AA50" s="21" t="str">
        <x:f>IF(COUNT(B50,M50)&lt;2,"",IF(M50&lt;B50,"Invalid dates",(M50-B50)*24))</x:f>
      </x:c>
    </x:row>
    <x:row r="51" ht="25" customHeight="1">
      <x:c r="A51" s="17"/>
      <x:c r="B51" s="18"/>
      <x:c r="C51" s="17"/>
      <x:c r="D51" s="17"/>
      <x:c r="E51" s="17"/>
      <x:c r="F51" s="17"/>
      <x:c r="G51" s="17"/>
      <x:c r="H51" s="17"/>
      <x:c r="I51" s="17"/>
      <x:c r="J51" s="17"/>
      <x:c r="K51" s="18"/>
      <x:c r="L51" s="18"/>
      <x:c r="M51" s="18"/>
      <x:c r="N51" s="18"/>
      <x:c r="O51" s="17"/>
      <x:c r="P51" s="19"/>
      <x:c r="Q51" s="18"/>
      <x:c r="R51" s="20"/>
      <x:c r="S51" s="17"/>
      <x:c r="T51" s="18"/>
      <x:c r="U51" s="17"/>
      <x:c r="V51" s="17"/>
      <x:c r="W51" s="17"/>
      <x:c r="X51" s="17"/>
      <x:c r="Y51" s="17"/>
      <x:c r="Z51" s="17"/>
      <x:c r="AA51" s="21" t="str">
        <x:f>IF(COUNT(B51,M51)&lt;2,"",IF(M51&lt;B51,"Invalid dates",(M51-B51)*24))</x:f>
      </x:c>
    </x:row>
    <x:row r="52" ht="25" customHeight="1">
      <x:c r="A52" s="17"/>
      <x:c r="B52" s="18"/>
      <x:c r="C52" s="17"/>
      <x:c r="D52" s="17"/>
      <x:c r="E52" s="17"/>
      <x:c r="F52" s="17"/>
      <x:c r="G52" s="17"/>
      <x:c r="H52" s="17"/>
      <x:c r="I52" s="17"/>
      <x:c r="J52" s="17"/>
      <x:c r="K52" s="18"/>
      <x:c r="L52" s="18"/>
      <x:c r="M52" s="18"/>
      <x:c r="N52" s="18"/>
      <x:c r="O52" s="17"/>
      <x:c r="P52" s="19"/>
      <x:c r="Q52" s="18"/>
      <x:c r="R52" s="20"/>
      <x:c r="S52" s="17"/>
      <x:c r="T52" s="18"/>
      <x:c r="U52" s="17"/>
      <x:c r="V52" s="17"/>
      <x:c r="W52" s="17"/>
      <x:c r="X52" s="17"/>
      <x:c r="Y52" s="17"/>
      <x:c r="Z52" s="17"/>
      <x:c r="AA52" s="21" t="str">
        <x:f>IF(COUNT(B52,M52)&lt;2,"",IF(M52&lt;B52,"Invalid dates",(M52-B52)*24))</x:f>
      </x:c>
    </x:row>
    <x:row r="53" ht="25" customHeight="1">
      <x:c r="A53" s="17"/>
      <x:c r="B53" s="18"/>
      <x:c r="C53" s="17"/>
      <x:c r="D53" s="17"/>
      <x:c r="E53" s="17"/>
      <x:c r="F53" s="17"/>
      <x:c r="G53" s="17"/>
      <x:c r="H53" s="17"/>
      <x:c r="I53" s="17"/>
      <x:c r="J53" s="17"/>
      <x:c r="K53" s="18"/>
      <x:c r="L53" s="18"/>
      <x:c r="M53" s="18"/>
      <x:c r="N53" s="18"/>
      <x:c r="O53" s="17"/>
      <x:c r="P53" s="19"/>
      <x:c r="Q53" s="18"/>
      <x:c r="R53" s="20"/>
      <x:c r="S53" s="17"/>
      <x:c r="T53" s="18"/>
      <x:c r="U53" s="17"/>
      <x:c r="V53" s="17"/>
      <x:c r="W53" s="17"/>
      <x:c r="X53" s="17"/>
      <x:c r="Y53" s="17"/>
      <x:c r="Z53" s="17"/>
      <x:c r="AA53" s="21" t="str">
        <x:f>IF(COUNT(B53,M53)&lt;2,"",IF(M53&lt;B53,"Invalid dates",(M53-B53)*24))</x:f>
      </x:c>
    </x:row>
    <x:row r="54" ht="25" customHeight="1">
      <x:c r="A54" s="17"/>
      <x:c r="B54" s="18"/>
      <x:c r="C54" s="17"/>
      <x:c r="D54" s="17"/>
      <x:c r="E54" s="17"/>
      <x:c r="F54" s="17"/>
      <x:c r="G54" s="17"/>
      <x:c r="H54" s="17"/>
      <x:c r="I54" s="17"/>
      <x:c r="J54" s="17"/>
      <x:c r="K54" s="18"/>
      <x:c r="L54" s="18"/>
      <x:c r="M54" s="18"/>
      <x:c r="N54" s="18"/>
      <x:c r="O54" s="17"/>
      <x:c r="P54" s="19"/>
      <x:c r="Q54" s="18"/>
      <x:c r="R54" s="20"/>
      <x:c r="S54" s="17"/>
      <x:c r="T54" s="18"/>
      <x:c r="U54" s="17"/>
      <x:c r="V54" s="17"/>
      <x:c r="W54" s="17"/>
      <x:c r="X54" s="17"/>
      <x:c r="Y54" s="17"/>
      <x:c r="Z54" s="17"/>
      <x:c r="AA54" s="21" t="str">
        <x:f>IF(COUNT(B54,M54)&lt;2,"",IF(M54&lt;B54,"Invalid dates",(M54-B54)*24))</x:f>
      </x:c>
    </x:row>
    <x:row r="55" ht="25" customHeight="1">
      <x:c r="A55" s="17"/>
      <x:c r="B55" s="18"/>
      <x:c r="C55" s="17"/>
      <x:c r="D55" s="17"/>
      <x:c r="E55" s="17"/>
      <x:c r="F55" s="17"/>
      <x:c r="G55" s="17"/>
      <x:c r="H55" s="17"/>
      <x:c r="I55" s="17"/>
      <x:c r="J55" s="17"/>
      <x:c r="K55" s="18"/>
      <x:c r="L55" s="18"/>
      <x:c r="M55" s="18"/>
      <x:c r="N55" s="18"/>
      <x:c r="O55" s="17"/>
      <x:c r="P55" s="19"/>
      <x:c r="Q55" s="18"/>
      <x:c r="R55" s="20"/>
      <x:c r="S55" s="17"/>
      <x:c r="T55" s="18"/>
      <x:c r="U55" s="17"/>
      <x:c r="V55" s="17"/>
      <x:c r="W55" s="17"/>
      <x:c r="X55" s="17"/>
      <x:c r="Y55" s="17"/>
      <x:c r="Z55" s="17"/>
      <x:c r="AA55" s="21" t="str">
        <x:f>IF(COUNT(B55,M55)&lt;2,"",IF(M55&lt;B55,"Invalid dates",(M55-B55)*24))</x:f>
      </x:c>
    </x:row>
    <x:row r="56" ht="25" customHeight="1">
      <x:c r="A56" s="17"/>
      <x:c r="B56" s="18"/>
      <x:c r="C56" s="17"/>
      <x:c r="D56" s="17"/>
      <x:c r="E56" s="17"/>
      <x:c r="F56" s="17"/>
      <x:c r="G56" s="17"/>
      <x:c r="H56" s="17"/>
      <x:c r="I56" s="17"/>
      <x:c r="J56" s="17"/>
      <x:c r="K56" s="18"/>
      <x:c r="L56" s="18"/>
      <x:c r="M56" s="18"/>
      <x:c r="N56" s="18"/>
      <x:c r="O56" s="17"/>
      <x:c r="P56" s="19"/>
      <x:c r="Q56" s="18"/>
      <x:c r="R56" s="20"/>
      <x:c r="S56" s="17"/>
      <x:c r="T56" s="18"/>
      <x:c r="U56" s="17"/>
      <x:c r="V56" s="17"/>
      <x:c r="W56" s="17"/>
      <x:c r="X56" s="17"/>
      <x:c r="Y56" s="17"/>
      <x:c r="Z56" s="17"/>
      <x:c r="AA56" s="21" t="str">
        <x:f>IF(COUNT(B56,M56)&lt;2,"",IF(M56&lt;B56,"Invalid dates",(M56-B56)*24))</x:f>
      </x:c>
    </x:row>
    <x:row r="57" ht="25" customHeight="1">
      <x:c r="A57" s="17"/>
      <x:c r="B57" s="18"/>
      <x:c r="C57" s="17"/>
      <x:c r="D57" s="17"/>
      <x:c r="E57" s="17"/>
      <x:c r="F57" s="17"/>
      <x:c r="G57" s="17"/>
      <x:c r="H57" s="17"/>
      <x:c r="I57" s="17"/>
      <x:c r="J57" s="17"/>
      <x:c r="K57" s="18"/>
      <x:c r="L57" s="18"/>
      <x:c r="M57" s="18"/>
      <x:c r="N57" s="18"/>
      <x:c r="O57" s="17"/>
      <x:c r="P57" s="19"/>
      <x:c r="Q57" s="18"/>
      <x:c r="R57" s="20"/>
      <x:c r="S57" s="17"/>
      <x:c r="T57" s="18"/>
      <x:c r="U57" s="17"/>
      <x:c r="V57" s="17"/>
      <x:c r="W57" s="17"/>
      <x:c r="X57" s="17"/>
      <x:c r="Y57" s="17"/>
      <x:c r="Z57" s="17"/>
      <x:c r="AA57" s="21" t="str">
        <x:f>IF(COUNT(B57,M57)&lt;2,"",IF(M57&lt;B57,"Invalid dates",(M57-B57)*24))</x:f>
      </x:c>
    </x:row>
    <x:row r="58" ht="25" customHeight="1">
      <x:c r="A58" s="17"/>
      <x:c r="B58" s="18"/>
      <x:c r="C58" s="17"/>
      <x:c r="D58" s="17"/>
      <x:c r="E58" s="17"/>
      <x:c r="F58" s="17"/>
      <x:c r="G58" s="17"/>
      <x:c r="H58" s="17"/>
      <x:c r="I58" s="17"/>
      <x:c r="J58" s="17"/>
      <x:c r="K58" s="18"/>
      <x:c r="L58" s="18"/>
      <x:c r="M58" s="18"/>
      <x:c r="N58" s="18"/>
      <x:c r="O58" s="17"/>
      <x:c r="P58" s="19"/>
      <x:c r="Q58" s="18"/>
      <x:c r="R58" s="20"/>
      <x:c r="S58" s="17"/>
      <x:c r="T58" s="18"/>
      <x:c r="U58" s="17"/>
      <x:c r="V58" s="17"/>
      <x:c r="W58" s="17"/>
      <x:c r="X58" s="17"/>
      <x:c r="Y58" s="17"/>
      <x:c r="Z58" s="17"/>
      <x:c r="AA58" s="21" t="str">
        <x:f>IF(COUNT(B58,M58)&lt;2,"",IF(M58&lt;B58,"Invalid dates",(M58-B58)*24))</x:f>
      </x:c>
    </x:row>
    <x:row r="59" ht="25" customHeight="1">
      <x:c r="A59" s="17"/>
      <x:c r="B59" s="18"/>
      <x:c r="C59" s="17"/>
      <x:c r="D59" s="17"/>
      <x:c r="E59" s="17"/>
      <x:c r="F59" s="17"/>
      <x:c r="G59" s="17"/>
      <x:c r="H59" s="17"/>
      <x:c r="I59" s="17"/>
      <x:c r="J59" s="17"/>
      <x:c r="K59" s="18"/>
      <x:c r="L59" s="18"/>
      <x:c r="M59" s="18"/>
      <x:c r="N59" s="18"/>
      <x:c r="O59" s="17"/>
      <x:c r="P59" s="19"/>
      <x:c r="Q59" s="18"/>
      <x:c r="R59" s="20"/>
      <x:c r="S59" s="17"/>
      <x:c r="T59" s="18"/>
      <x:c r="U59" s="17"/>
      <x:c r="V59" s="17"/>
      <x:c r="W59" s="17"/>
      <x:c r="X59" s="17"/>
      <x:c r="Y59" s="17"/>
      <x:c r="Z59" s="17"/>
      <x:c r="AA59" s="21" t="str">
        <x:f>IF(COUNT(B59,M59)&lt;2,"",IF(M59&lt;B59,"Invalid dates",(M59-B59)*24))</x:f>
      </x:c>
    </x:row>
    <x:row r="60" ht="25" customHeight="1">
      <x:c r="A60" s="17"/>
      <x:c r="B60" s="18"/>
      <x:c r="C60" s="17"/>
      <x:c r="D60" s="17"/>
      <x:c r="E60" s="17"/>
      <x:c r="F60" s="17"/>
      <x:c r="G60" s="17"/>
      <x:c r="H60" s="17"/>
      <x:c r="I60" s="17"/>
      <x:c r="J60" s="17"/>
      <x:c r="K60" s="18"/>
      <x:c r="L60" s="18"/>
      <x:c r="M60" s="18"/>
      <x:c r="N60" s="18"/>
      <x:c r="O60" s="17"/>
      <x:c r="P60" s="19"/>
      <x:c r="Q60" s="18"/>
      <x:c r="R60" s="20"/>
      <x:c r="S60" s="17"/>
      <x:c r="T60" s="18"/>
      <x:c r="U60" s="17"/>
      <x:c r="V60" s="17"/>
      <x:c r="W60" s="17"/>
      <x:c r="X60" s="17"/>
      <x:c r="Y60" s="17"/>
      <x:c r="Z60" s="17"/>
      <x:c r="AA60" s="21" t="str">
        <x:f>IF(COUNT(B60,M60)&lt;2,"",IF(M60&lt;B60,"Invalid dates",(M60-B60)*24))</x:f>
      </x:c>
    </x:row>
    <x:row r="61" ht="25" customHeight="1">
      <x:c r="A61" s="17"/>
      <x:c r="B61" s="18"/>
      <x:c r="C61" s="17"/>
      <x:c r="D61" s="17"/>
      <x:c r="E61" s="17"/>
      <x:c r="F61" s="17"/>
      <x:c r="G61" s="17"/>
      <x:c r="H61" s="17"/>
      <x:c r="I61" s="17"/>
      <x:c r="J61" s="17"/>
      <x:c r="K61" s="18"/>
      <x:c r="L61" s="18"/>
      <x:c r="M61" s="18"/>
      <x:c r="N61" s="18"/>
      <x:c r="O61" s="17"/>
      <x:c r="P61" s="19"/>
      <x:c r="Q61" s="18"/>
      <x:c r="R61" s="20"/>
      <x:c r="S61" s="17"/>
      <x:c r="T61" s="18"/>
      <x:c r="U61" s="17"/>
      <x:c r="V61" s="17"/>
      <x:c r="W61" s="17"/>
      <x:c r="X61" s="17"/>
      <x:c r="Y61" s="17"/>
      <x:c r="Z61" s="17"/>
      <x:c r="AA61" s="21" t="str">
        <x:f>IF(COUNT(B61,M61)&lt;2,"",IF(M61&lt;B61,"Invalid dates",(M61-B61)*24))</x:f>
      </x:c>
    </x:row>
    <x:row r="62" ht="25" customHeight="1">
      <x:c r="A62" s="17"/>
      <x:c r="B62" s="18"/>
      <x:c r="C62" s="17"/>
      <x:c r="D62" s="17"/>
      <x:c r="E62" s="17"/>
      <x:c r="F62" s="17"/>
      <x:c r="G62" s="17"/>
      <x:c r="H62" s="17"/>
      <x:c r="I62" s="17"/>
      <x:c r="J62" s="17"/>
      <x:c r="K62" s="18"/>
      <x:c r="L62" s="18"/>
      <x:c r="M62" s="18"/>
      <x:c r="N62" s="18"/>
      <x:c r="O62" s="17"/>
      <x:c r="P62" s="19"/>
      <x:c r="Q62" s="18"/>
      <x:c r="R62" s="20"/>
      <x:c r="S62" s="17"/>
      <x:c r="T62" s="18"/>
      <x:c r="U62" s="17"/>
      <x:c r="V62" s="17"/>
      <x:c r="W62" s="17"/>
      <x:c r="X62" s="17"/>
      <x:c r="Y62" s="17"/>
      <x:c r="Z62" s="17"/>
      <x:c r="AA62" s="21" t="str">
        <x:f>IF(COUNT(B62,M62)&lt;2,"",IF(M62&lt;B62,"Invalid dates",(M62-B62)*24))</x:f>
      </x:c>
    </x:row>
    <x:row r="63" ht="25" customHeight="1">
      <x:c r="A63" s="17"/>
      <x:c r="B63" s="18"/>
      <x:c r="C63" s="17"/>
      <x:c r="D63" s="17"/>
      <x:c r="E63" s="17"/>
      <x:c r="F63" s="17"/>
      <x:c r="G63" s="17"/>
      <x:c r="H63" s="17"/>
      <x:c r="I63" s="17"/>
      <x:c r="J63" s="17"/>
      <x:c r="K63" s="18"/>
      <x:c r="L63" s="18"/>
      <x:c r="M63" s="18"/>
      <x:c r="N63" s="18"/>
      <x:c r="O63" s="17"/>
      <x:c r="P63" s="19"/>
      <x:c r="Q63" s="18"/>
      <x:c r="R63" s="20"/>
      <x:c r="S63" s="17"/>
      <x:c r="T63" s="18"/>
      <x:c r="U63" s="17"/>
      <x:c r="V63" s="17"/>
      <x:c r="W63" s="17"/>
      <x:c r="X63" s="17"/>
      <x:c r="Y63" s="17"/>
      <x:c r="Z63" s="17"/>
      <x:c r="AA63" s="21" t="str">
        <x:f>IF(COUNT(B63,M63)&lt;2,"",IF(M63&lt;B63,"Invalid dates",(M63-B63)*24))</x:f>
      </x:c>
    </x:row>
    <x:row r="64" ht="25" customHeight="1">
      <x:c r="A64" s="17"/>
      <x:c r="B64" s="18"/>
      <x:c r="C64" s="17"/>
      <x:c r="D64" s="17"/>
      <x:c r="E64" s="17"/>
      <x:c r="F64" s="17"/>
      <x:c r="G64" s="17"/>
      <x:c r="H64" s="17"/>
      <x:c r="I64" s="17"/>
      <x:c r="J64" s="17"/>
      <x:c r="K64" s="18"/>
      <x:c r="L64" s="18"/>
      <x:c r="M64" s="18"/>
      <x:c r="N64" s="18"/>
      <x:c r="O64" s="17"/>
      <x:c r="P64" s="19"/>
      <x:c r="Q64" s="18"/>
      <x:c r="R64" s="20"/>
      <x:c r="S64" s="17"/>
      <x:c r="T64" s="18"/>
      <x:c r="U64" s="17"/>
      <x:c r="V64" s="17"/>
      <x:c r="W64" s="17"/>
      <x:c r="X64" s="17"/>
      <x:c r="Y64" s="17"/>
      <x:c r="Z64" s="17"/>
      <x:c r="AA64" s="21" t="str">
        <x:f>IF(COUNT(B64,M64)&lt;2,"",IF(M64&lt;B64,"Invalid dates",(M64-B64)*24))</x:f>
      </x:c>
    </x:row>
    <x:row r="65" ht="25" customHeight="1">
      <x:c r="A65" s="17"/>
      <x:c r="B65" s="18"/>
      <x:c r="C65" s="17"/>
      <x:c r="D65" s="17"/>
      <x:c r="E65" s="17"/>
      <x:c r="F65" s="17"/>
      <x:c r="G65" s="17"/>
      <x:c r="H65" s="17"/>
      <x:c r="I65" s="17"/>
      <x:c r="J65" s="17"/>
      <x:c r="K65" s="18"/>
      <x:c r="L65" s="18"/>
      <x:c r="M65" s="18"/>
      <x:c r="N65" s="18"/>
      <x:c r="O65" s="17"/>
      <x:c r="P65" s="19"/>
      <x:c r="Q65" s="18"/>
      <x:c r="R65" s="20"/>
      <x:c r="S65" s="17"/>
      <x:c r="T65" s="18"/>
      <x:c r="U65" s="17"/>
      <x:c r="V65" s="17"/>
      <x:c r="W65" s="17"/>
      <x:c r="X65" s="17"/>
      <x:c r="Y65" s="17"/>
      <x:c r="Z65" s="17"/>
      <x:c r="AA65" s="21" t="str">
        <x:f>IF(COUNT(B65,M65)&lt;2,"",IF(M65&lt;B65,"Invalid dates",(M65-B65)*24))</x:f>
      </x:c>
    </x:row>
    <x:row r="66" ht="25" customHeight="1">
      <x:c r="A66" s="17"/>
      <x:c r="B66" s="18"/>
      <x:c r="C66" s="17"/>
      <x:c r="D66" s="17"/>
      <x:c r="E66" s="17"/>
      <x:c r="F66" s="17"/>
      <x:c r="G66" s="17"/>
      <x:c r="H66" s="17"/>
      <x:c r="I66" s="17"/>
      <x:c r="J66" s="17"/>
      <x:c r="K66" s="18"/>
      <x:c r="L66" s="18"/>
      <x:c r="M66" s="18"/>
      <x:c r="N66" s="18"/>
      <x:c r="O66" s="17"/>
      <x:c r="P66" s="19"/>
      <x:c r="Q66" s="18"/>
      <x:c r="R66" s="20"/>
      <x:c r="S66" s="17"/>
      <x:c r="T66" s="18"/>
      <x:c r="U66" s="17"/>
      <x:c r="V66" s="17"/>
      <x:c r="W66" s="17"/>
      <x:c r="X66" s="17"/>
      <x:c r="Y66" s="17"/>
      <x:c r="Z66" s="17"/>
      <x:c r="AA66" s="21" t="str">
        <x:f>IF(COUNT(B66,M66)&lt;2,"",IF(M66&lt;B66,"Invalid dates",(M66-B66)*24))</x:f>
      </x:c>
    </x:row>
    <x:row r="67" ht="25" customHeight="1">
      <x:c r="A67" s="17"/>
      <x:c r="B67" s="18"/>
      <x:c r="C67" s="17"/>
      <x:c r="D67" s="17"/>
      <x:c r="E67" s="17"/>
      <x:c r="F67" s="17"/>
      <x:c r="G67" s="17"/>
      <x:c r="H67" s="17"/>
      <x:c r="I67" s="17"/>
      <x:c r="J67" s="17"/>
      <x:c r="K67" s="18"/>
      <x:c r="L67" s="18"/>
      <x:c r="M67" s="18"/>
      <x:c r="N67" s="18"/>
      <x:c r="O67" s="17"/>
      <x:c r="P67" s="19"/>
      <x:c r="Q67" s="18"/>
      <x:c r="R67" s="20"/>
      <x:c r="S67" s="17"/>
      <x:c r="T67" s="18"/>
      <x:c r="U67" s="17"/>
      <x:c r="V67" s="17"/>
      <x:c r="W67" s="17"/>
      <x:c r="X67" s="17"/>
      <x:c r="Y67" s="17"/>
      <x:c r="Z67" s="17"/>
      <x:c r="AA67" s="21" t="str">
        <x:f>IF(COUNT(B67,M67)&lt;2,"",IF(M67&lt;B67,"Invalid dates",(M67-B67)*24))</x:f>
      </x:c>
    </x:row>
    <x:row r="68" ht="25" customHeight="1">
      <x:c r="A68" s="17"/>
      <x:c r="B68" s="18"/>
      <x:c r="C68" s="17"/>
      <x:c r="D68" s="17"/>
      <x:c r="E68" s="17"/>
      <x:c r="F68" s="17"/>
      <x:c r="G68" s="17"/>
      <x:c r="H68" s="17"/>
      <x:c r="I68" s="17"/>
      <x:c r="J68" s="17"/>
      <x:c r="K68" s="18"/>
      <x:c r="L68" s="18"/>
      <x:c r="M68" s="18"/>
      <x:c r="N68" s="18"/>
      <x:c r="O68" s="17"/>
      <x:c r="P68" s="19"/>
      <x:c r="Q68" s="18"/>
      <x:c r="R68" s="20"/>
      <x:c r="S68" s="17"/>
      <x:c r="T68" s="18"/>
      <x:c r="U68" s="17"/>
      <x:c r="V68" s="17"/>
      <x:c r="W68" s="17"/>
      <x:c r="X68" s="17"/>
      <x:c r="Y68" s="17"/>
      <x:c r="Z68" s="17"/>
      <x:c r="AA68" s="21" t="str">
        <x:f>IF(COUNT(B68,M68)&lt;2,"",IF(M68&lt;B68,"Invalid dates",(M68-B68)*24))</x:f>
      </x:c>
    </x:row>
    <x:row r="69" ht="25" customHeight="1">
      <x:c r="A69" s="17"/>
      <x:c r="B69" s="18"/>
      <x:c r="C69" s="17"/>
      <x:c r="D69" s="17"/>
      <x:c r="E69" s="17"/>
      <x:c r="F69" s="17"/>
      <x:c r="G69" s="17"/>
      <x:c r="H69" s="17"/>
      <x:c r="I69" s="17"/>
      <x:c r="J69" s="17"/>
      <x:c r="K69" s="18"/>
      <x:c r="L69" s="18"/>
      <x:c r="M69" s="18"/>
      <x:c r="N69" s="18"/>
      <x:c r="O69" s="17"/>
      <x:c r="P69" s="19"/>
      <x:c r="Q69" s="18"/>
      <x:c r="R69" s="20"/>
      <x:c r="S69" s="17"/>
      <x:c r="T69" s="18"/>
      <x:c r="U69" s="17"/>
      <x:c r="V69" s="17"/>
      <x:c r="W69" s="17"/>
      <x:c r="X69" s="17"/>
      <x:c r="Y69" s="17"/>
      <x:c r="Z69" s="17"/>
      <x:c r="AA69" s="21" t="str">
        <x:f>IF(COUNT(B69,M69)&lt;2,"",IF(M69&lt;B69,"Invalid dates",(M69-B69)*24))</x:f>
      </x:c>
    </x:row>
    <x:row r="70" ht="25" customHeight="1">
      <x:c r="A70" s="17"/>
      <x:c r="B70" s="18"/>
      <x:c r="C70" s="17"/>
      <x:c r="D70" s="17"/>
      <x:c r="E70" s="17"/>
      <x:c r="F70" s="17"/>
      <x:c r="G70" s="17"/>
      <x:c r="H70" s="17"/>
      <x:c r="I70" s="17"/>
      <x:c r="J70" s="17"/>
      <x:c r="K70" s="18"/>
      <x:c r="L70" s="18"/>
      <x:c r="M70" s="18"/>
      <x:c r="N70" s="18"/>
      <x:c r="O70" s="17"/>
      <x:c r="P70" s="19"/>
      <x:c r="Q70" s="18"/>
      <x:c r="R70" s="20"/>
      <x:c r="S70" s="17"/>
      <x:c r="T70" s="18"/>
      <x:c r="U70" s="17"/>
      <x:c r="V70" s="17"/>
      <x:c r="W70" s="17"/>
      <x:c r="X70" s="17"/>
      <x:c r="Y70" s="17"/>
      <x:c r="Z70" s="17"/>
      <x:c r="AA70" s="21" t="str">
        <x:f>IF(COUNT(B70,M70)&lt;2,"",IF(M70&lt;B70,"Invalid dates",(M70-B70)*24))</x:f>
      </x:c>
    </x:row>
    <x:row r="71" ht="25" customHeight="1">
      <x:c r="A71" s="17"/>
      <x:c r="B71" s="18"/>
      <x:c r="C71" s="17"/>
      <x:c r="D71" s="17"/>
      <x:c r="E71" s="17"/>
      <x:c r="F71" s="17"/>
      <x:c r="G71" s="17"/>
      <x:c r="H71" s="17"/>
      <x:c r="I71" s="17"/>
      <x:c r="J71" s="17"/>
      <x:c r="K71" s="18"/>
      <x:c r="L71" s="18"/>
      <x:c r="M71" s="18"/>
      <x:c r="N71" s="18"/>
      <x:c r="O71" s="17"/>
      <x:c r="P71" s="19"/>
      <x:c r="Q71" s="18"/>
      <x:c r="R71" s="20"/>
      <x:c r="S71" s="17"/>
      <x:c r="T71" s="18"/>
      <x:c r="U71" s="17"/>
      <x:c r="V71" s="17"/>
      <x:c r="W71" s="17"/>
      <x:c r="X71" s="17"/>
      <x:c r="Y71" s="17"/>
      <x:c r="Z71" s="17"/>
      <x:c r="AA71" s="21" t="str">
        <x:f>IF(COUNT(B71,M71)&lt;2,"",IF(M71&lt;B71,"Invalid dates",(M71-B71)*24))</x:f>
      </x:c>
    </x:row>
    <x:row r="72" ht="25" customHeight="1">
      <x:c r="A72" s="17"/>
      <x:c r="B72" s="18"/>
      <x:c r="C72" s="17"/>
      <x:c r="D72" s="17"/>
      <x:c r="E72" s="17"/>
      <x:c r="F72" s="17"/>
      <x:c r="G72" s="17"/>
      <x:c r="H72" s="17"/>
      <x:c r="I72" s="17"/>
      <x:c r="J72" s="17"/>
      <x:c r="K72" s="18"/>
      <x:c r="L72" s="18"/>
      <x:c r="M72" s="18"/>
      <x:c r="N72" s="18"/>
      <x:c r="O72" s="17"/>
      <x:c r="P72" s="19"/>
      <x:c r="Q72" s="18"/>
      <x:c r="R72" s="20"/>
      <x:c r="S72" s="17"/>
      <x:c r="T72" s="18"/>
      <x:c r="U72" s="17"/>
      <x:c r="V72" s="17"/>
      <x:c r="W72" s="17"/>
      <x:c r="X72" s="17"/>
      <x:c r="Y72" s="17"/>
      <x:c r="Z72" s="17"/>
      <x:c r="AA72" s="21" t="str">
        <x:f>IF(COUNT(B72,M72)&lt;2,"",IF(M72&lt;B72,"Invalid dates",(M72-B72)*24))</x:f>
      </x:c>
    </x:row>
    <x:row r="73" ht="25" customHeight="1">
      <x:c r="A73" s="17"/>
      <x:c r="B73" s="18"/>
      <x:c r="C73" s="17"/>
      <x:c r="D73" s="17"/>
      <x:c r="E73" s="17"/>
      <x:c r="F73" s="17"/>
      <x:c r="G73" s="17"/>
      <x:c r="H73" s="17"/>
      <x:c r="I73" s="17"/>
      <x:c r="J73" s="17"/>
      <x:c r="K73" s="18"/>
      <x:c r="L73" s="18"/>
      <x:c r="M73" s="18"/>
      <x:c r="N73" s="18"/>
      <x:c r="O73" s="17"/>
      <x:c r="P73" s="19"/>
      <x:c r="Q73" s="18"/>
      <x:c r="R73" s="20"/>
      <x:c r="S73" s="17"/>
      <x:c r="T73" s="18"/>
      <x:c r="U73" s="17"/>
      <x:c r="V73" s="17"/>
      <x:c r="W73" s="17"/>
      <x:c r="X73" s="17"/>
      <x:c r="Y73" s="17"/>
      <x:c r="Z73" s="17"/>
      <x:c r="AA73" s="21" t="str">
        <x:f>IF(COUNT(B73,M73)&lt;2,"",IF(M73&lt;B73,"Invalid dates",(M73-B73)*24))</x:f>
      </x:c>
    </x:row>
    <x:row r="74" ht="25" customHeight="1">
      <x:c r="A74" s="17"/>
      <x:c r="B74" s="18"/>
      <x:c r="C74" s="17"/>
      <x:c r="D74" s="17"/>
      <x:c r="E74" s="17"/>
      <x:c r="F74" s="17"/>
      <x:c r="G74" s="17"/>
      <x:c r="H74" s="17"/>
      <x:c r="I74" s="17"/>
      <x:c r="J74" s="17"/>
      <x:c r="K74" s="18"/>
      <x:c r="L74" s="18"/>
      <x:c r="M74" s="18"/>
      <x:c r="N74" s="18"/>
      <x:c r="O74" s="17"/>
      <x:c r="P74" s="19"/>
      <x:c r="Q74" s="18"/>
      <x:c r="R74" s="20"/>
      <x:c r="S74" s="17"/>
      <x:c r="T74" s="18"/>
      <x:c r="U74" s="17"/>
      <x:c r="V74" s="17"/>
      <x:c r="W74" s="17"/>
      <x:c r="X74" s="17"/>
      <x:c r="Y74" s="17"/>
      <x:c r="Z74" s="17"/>
      <x:c r="AA74" s="21" t="str">
        <x:f>IF(COUNT(B74,M74)&lt;2,"",IF(M74&lt;B74,"Invalid dates",(M74-B74)*24))</x:f>
      </x:c>
    </x:row>
    <x:row r="75" ht="25" customHeight="1">
      <x:c r="A75" s="17"/>
      <x:c r="B75" s="18"/>
      <x:c r="C75" s="17"/>
      <x:c r="D75" s="17"/>
      <x:c r="E75" s="17"/>
      <x:c r="F75" s="17"/>
      <x:c r="G75" s="17"/>
      <x:c r="H75" s="17"/>
      <x:c r="I75" s="17"/>
      <x:c r="J75" s="17"/>
      <x:c r="K75" s="18"/>
      <x:c r="L75" s="18"/>
      <x:c r="M75" s="18"/>
      <x:c r="N75" s="18"/>
      <x:c r="O75" s="17"/>
      <x:c r="P75" s="19"/>
      <x:c r="Q75" s="18"/>
      <x:c r="R75" s="20"/>
      <x:c r="S75" s="17"/>
      <x:c r="T75" s="18"/>
      <x:c r="U75" s="17"/>
      <x:c r="V75" s="17"/>
      <x:c r="W75" s="17"/>
      <x:c r="X75" s="17"/>
      <x:c r="Y75" s="17"/>
      <x:c r="Z75" s="17"/>
      <x:c r="AA75" s="21" t="str">
        <x:f>IF(COUNT(B75,M75)&lt;2,"",IF(M75&lt;B75,"Invalid dates",(M75-B75)*24))</x:f>
      </x:c>
    </x:row>
    <x:row r="76" ht="25" customHeight="1">
      <x:c r="A76" s="17"/>
      <x:c r="B76" s="18"/>
      <x:c r="C76" s="17"/>
      <x:c r="D76" s="17"/>
      <x:c r="E76" s="17"/>
      <x:c r="F76" s="17"/>
      <x:c r="G76" s="17"/>
      <x:c r="H76" s="17"/>
      <x:c r="I76" s="17"/>
      <x:c r="J76" s="17"/>
      <x:c r="K76" s="18"/>
      <x:c r="L76" s="18"/>
      <x:c r="M76" s="18"/>
      <x:c r="N76" s="18"/>
      <x:c r="O76" s="17"/>
      <x:c r="P76" s="19"/>
      <x:c r="Q76" s="18"/>
      <x:c r="R76" s="20"/>
      <x:c r="S76" s="17"/>
      <x:c r="T76" s="18"/>
      <x:c r="U76" s="17"/>
      <x:c r="V76" s="17"/>
      <x:c r="W76" s="17"/>
      <x:c r="X76" s="17"/>
      <x:c r="Y76" s="17"/>
      <x:c r="Z76" s="17"/>
      <x:c r="AA76" s="21" t="str">
        <x:f>IF(COUNT(B76,M76)&lt;2,"",IF(M76&lt;B76,"Invalid dates",(M76-B76)*24))</x:f>
      </x:c>
    </x:row>
    <x:row r="77" ht="25" customHeight="1">
      <x:c r="A77" s="17"/>
      <x:c r="B77" s="18"/>
      <x:c r="C77" s="17"/>
      <x:c r="D77" s="17"/>
      <x:c r="E77" s="17"/>
      <x:c r="F77" s="17"/>
      <x:c r="G77" s="17"/>
      <x:c r="H77" s="17"/>
      <x:c r="I77" s="17"/>
      <x:c r="J77" s="17"/>
      <x:c r="K77" s="18"/>
      <x:c r="L77" s="18"/>
      <x:c r="M77" s="18"/>
      <x:c r="N77" s="18"/>
      <x:c r="O77" s="17"/>
      <x:c r="P77" s="19"/>
      <x:c r="Q77" s="18"/>
      <x:c r="R77" s="20"/>
      <x:c r="S77" s="17"/>
      <x:c r="T77" s="18"/>
      <x:c r="U77" s="17"/>
      <x:c r="V77" s="17"/>
      <x:c r="W77" s="17"/>
      <x:c r="X77" s="17"/>
      <x:c r="Y77" s="17"/>
      <x:c r="Z77" s="17"/>
      <x:c r="AA77" s="21" t="str">
        <x:f>IF(COUNT(B77,M77)&lt;2,"",IF(M77&lt;B77,"Invalid dates",(M77-B77)*24))</x:f>
      </x:c>
    </x:row>
    <x:row r="78" ht="25" customHeight="1">
      <x:c r="A78" s="17"/>
      <x:c r="B78" s="18"/>
      <x:c r="C78" s="17"/>
      <x:c r="D78" s="17"/>
      <x:c r="E78" s="17"/>
      <x:c r="F78" s="17"/>
      <x:c r="G78" s="17"/>
      <x:c r="H78" s="17"/>
      <x:c r="I78" s="17"/>
      <x:c r="J78" s="17"/>
      <x:c r="K78" s="18"/>
      <x:c r="L78" s="18"/>
      <x:c r="M78" s="18"/>
      <x:c r="N78" s="18"/>
      <x:c r="O78" s="17"/>
      <x:c r="P78" s="19"/>
      <x:c r="Q78" s="18"/>
      <x:c r="R78" s="20"/>
      <x:c r="S78" s="17"/>
      <x:c r="T78" s="18"/>
      <x:c r="U78" s="17"/>
      <x:c r="V78" s="17"/>
      <x:c r="W78" s="17"/>
      <x:c r="X78" s="17"/>
      <x:c r="Y78" s="17"/>
      <x:c r="Z78" s="17"/>
      <x:c r="AA78" s="21" t="str">
        <x:f>IF(COUNT(B78,M78)&lt;2,"",IF(M78&lt;B78,"Invalid dates",(M78-B78)*24))</x:f>
      </x:c>
    </x:row>
    <x:row r="79" ht="25" customHeight="1">
      <x:c r="A79" s="17"/>
      <x:c r="B79" s="18"/>
      <x:c r="C79" s="17"/>
      <x:c r="D79" s="17"/>
      <x:c r="E79" s="17"/>
      <x:c r="F79" s="17"/>
      <x:c r="G79" s="17"/>
      <x:c r="H79" s="17"/>
      <x:c r="I79" s="17"/>
      <x:c r="J79" s="17"/>
      <x:c r="K79" s="18"/>
      <x:c r="L79" s="18"/>
      <x:c r="M79" s="18"/>
      <x:c r="N79" s="18"/>
      <x:c r="O79" s="17"/>
      <x:c r="P79" s="19"/>
      <x:c r="Q79" s="18"/>
      <x:c r="R79" s="20"/>
      <x:c r="S79" s="17"/>
      <x:c r="T79" s="18"/>
      <x:c r="U79" s="17"/>
      <x:c r="V79" s="17"/>
      <x:c r="W79" s="17"/>
      <x:c r="X79" s="17"/>
      <x:c r="Y79" s="17"/>
      <x:c r="Z79" s="17"/>
      <x:c r="AA79" s="21" t="str">
        <x:f>IF(COUNT(B79,M79)&lt;2,"",IF(M79&lt;B79,"Invalid dates",(M79-B79)*24))</x:f>
      </x:c>
    </x:row>
    <x:row r="80" ht="25" customHeight="1">
      <x:c r="A80" s="17"/>
      <x:c r="B80" s="18"/>
      <x:c r="C80" s="17"/>
      <x:c r="D80" s="17"/>
      <x:c r="E80" s="17"/>
      <x:c r="F80" s="17"/>
      <x:c r="G80" s="17"/>
      <x:c r="H80" s="17"/>
      <x:c r="I80" s="17"/>
      <x:c r="J80" s="17"/>
      <x:c r="K80" s="18"/>
      <x:c r="L80" s="18"/>
      <x:c r="M80" s="18"/>
      <x:c r="N80" s="18"/>
      <x:c r="O80" s="17"/>
      <x:c r="P80" s="19"/>
      <x:c r="Q80" s="18"/>
      <x:c r="R80" s="20"/>
      <x:c r="S80" s="17"/>
      <x:c r="T80" s="18"/>
      <x:c r="U80" s="17"/>
      <x:c r="V80" s="17"/>
      <x:c r="W80" s="17"/>
      <x:c r="X80" s="17"/>
      <x:c r="Y80" s="17"/>
      <x:c r="Z80" s="17"/>
      <x:c r="AA80" s="21" t="str">
        <x:f>IF(COUNT(B80,M80)&lt;2,"",IF(M80&lt;B80,"Invalid dates",(M80-B80)*24))</x:f>
      </x:c>
    </x:row>
    <x:row r="81" ht="25" customHeight="1">
      <x:c r="A81" s="17"/>
      <x:c r="B81" s="18"/>
      <x:c r="C81" s="17"/>
      <x:c r="D81" s="17"/>
      <x:c r="E81" s="17"/>
      <x:c r="F81" s="17"/>
      <x:c r="G81" s="17"/>
      <x:c r="H81" s="17"/>
      <x:c r="I81" s="17"/>
      <x:c r="J81" s="17"/>
      <x:c r="K81" s="18"/>
      <x:c r="L81" s="18"/>
      <x:c r="M81" s="18"/>
      <x:c r="N81" s="18"/>
      <x:c r="O81" s="17"/>
      <x:c r="P81" s="19"/>
      <x:c r="Q81" s="18"/>
      <x:c r="R81" s="20"/>
      <x:c r="S81" s="17"/>
      <x:c r="T81" s="18"/>
      <x:c r="U81" s="17"/>
      <x:c r="V81" s="17"/>
      <x:c r="W81" s="17"/>
      <x:c r="X81" s="17"/>
      <x:c r="Y81" s="17"/>
      <x:c r="Z81" s="17"/>
      <x:c r="AA81" s="21" t="str">
        <x:f>IF(COUNT(B81,M81)&lt;2,"",IF(M81&lt;B81,"Invalid dates",(M81-B81)*24))</x:f>
      </x:c>
    </x:row>
    <x:row r="82" ht="25" customHeight="1">
      <x:c r="A82" s="17"/>
      <x:c r="B82" s="18"/>
      <x:c r="C82" s="17"/>
      <x:c r="D82" s="17"/>
      <x:c r="E82" s="17"/>
      <x:c r="F82" s="17"/>
      <x:c r="G82" s="17"/>
      <x:c r="H82" s="17"/>
      <x:c r="I82" s="17"/>
      <x:c r="J82" s="17"/>
      <x:c r="K82" s="18"/>
      <x:c r="L82" s="18"/>
      <x:c r="M82" s="18"/>
      <x:c r="N82" s="18"/>
      <x:c r="O82" s="17"/>
      <x:c r="P82" s="19"/>
      <x:c r="Q82" s="18"/>
      <x:c r="R82" s="20"/>
      <x:c r="S82" s="17"/>
      <x:c r="T82" s="18"/>
      <x:c r="U82" s="17"/>
      <x:c r="V82" s="17"/>
      <x:c r="W82" s="17"/>
      <x:c r="X82" s="17"/>
      <x:c r="Y82" s="17"/>
      <x:c r="Z82" s="17"/>
      <x:c r="AA82" s="21" t="str">
        <x:f>IF(COUNT(B82,M82)&lt;2,"",IF(M82&lt;B82,"Invalid dates",(M82-B82)*24))</x:f>
      </x:c>
    </x:row>
    <x:row r="83" ht="25" customHeight="1">
      <x:c r="A83" s="17"/>
      <x:c r="B83" s="18"/>
      <x:c r="C83" s="17"/>
      <x:c r="D83" s="17"/>
      <x:c r="E83" s="17"/>
      <x:c r="F83" s="17"/>
      <x:c r="G83" s="17"/>
      <x:c r="H83" s="17"/>
      <x:c r="I83" s="17"/>
      <x:c r="J83" s="17"/>
      <x:c r="K83" s="18"/>
      <x:c r="L83" s="18"/>
      <x:c r="M83" s="18"/>
      <x:c r="N83" s="18"/>
      <x:c r="O83" s="17"/>
      <x:c r="P83" s="19"/>
      <x:c r="Q83" s="18"/>
      <x:c r="R83" s="20"/>
      <x:c r="S83" s="17"/>
      <x:c r="T83" s="18"/>
      <x:c r="U83" s="17"/>
      <x:c r="V83" s="17"/>
      <x:c r="W83" s="17"/>
      <x:c r="X83" s="17"/>
      <x:c r="Y83" s="17"/>
      <x:c r="Z83" s="17"/>
      <x:c r="AA83" s="21" t="str">
        <x:f>IF(COUNT(B83,M83)&lt;2,"",IF(M83&lt;B83,"Invalid dates",(M83-B83)*24))</x:f>
      </x:c>
    </x:row>
    <x:row r="84" ht="25" customHeight="1">
      <x:c r="A84" s="17"/>
      <x:c r="B84" s="18"/>
      <x:c r="C84" s="17"/>
      <x:c r="D84" s="17"/>
      <x:c r="E84" s="17"/>
      <x:c r="F84" s="17"/>
      <x:c r="G84" s="17"/>
      <x:c r="H84" s="17"/>
      <x:c r="I84" s="17"/>
      <x:c r="J84" s="17"/>
      <x:c r="K84" s="18"/>
      <x:c r="L84" s="18"/>
      <x:c r="M84" s="18"/>
      <x:c r="N84" s="18"/>
      <x:c r="O84" s="17"/>
      <x:c r="P84" s="19"/>
      <x:c r="Q84" s="18"/>
      <x:c r="R84" s="20"/>
      <x:c r="S84" s="17"/>
      <x:c r="T84" s="18"/>
      <x:c r="U84" s="17"/>
      <x:c r="V84" s="17"/>
      <x:c r="W84" s="17"/>
      <x:c r="X84" s="17"/>
      <x:c r="Y84" s="17"/>
      <x:c r="Z84" s="17"/>
      <x:c r="AA84" s="21" t="str">
        <x:f>IF(COUNT(B84,M84)&lt;2,"",IF(M84&lt;B84,"Invalid dates",(M84-B84)*24))</x:f>
      </x:c>
    </x:row>
    <x:row r="85" ht="25" customHeight="1">
      <x:c r="A85" s="17"/>
      <x:c r="B85" s="18"/>
      <x:c r="C85" s="17"/>
      <x:c r="D85" s="17"/>
      <x:c r="E85" s="17"/>
      <x:c r="F85" s="17"/>
      <x:c r="G85" s="17"/>
      <x:c r="H85" s="17"/>
      <x:c r="I85" s="17"/>
      <x:c r="J85" s="17"/>
      <x:c r="K85" s="18"/>
      <x:c r="L85" s="18"/>
      <x:c r="M85" s="18"/>
      <x:c r="N85" s="18"/>
      <x:c r="O85" s="17"/>
      <x:c r="P85" s="19"/>
      <x:c r="Q85" s="18"/>
      <x:c r="R85" s="20"/>
      <x:c r="S85" s="17"/>
      <x:c r="T85" s="18"/>
      <x:c r="U85" s="17"/>
      <x:c r="V85" s="17"/>
      <x:c r="W85" s="17"/>
      <x:c r="X85" s="17"/>
      <x:c r="Y85" s="17"/>
      <x:c r="Z85" s="17"/>
      <x:c r="AA85" s="21" t="str">
        <x:f>IF(COUNT(B85,M85)&lt;2,"",IF(M85&lt;B85,"Invalid dates",(M85-B85)*24))</x:f>
      </x:c>
    </x:row>
    <x:row r="86" ht="25" customHeight="1">
      <x:c r="A86" s="17"/>
      <x:c r="B86" s="18"/>
      <x:c r="C86" s="17"/>
      <x:c r="D86" s="17"/>
      <x:c r="E86" s="17"/>
      <x:c r="F86" s="17"/>
      <x:c r="G86" s="17"/>
      <x:c r="H86" s="17"/>
      <x:c r="I86" s="17"/>
      <x:c r="J86" s="17"/>
      <x:c r="K86" s="18"/>
      <x:c r="L86" s="18"/>
      <x:c r="M86" s="18"/>
      <x:c r="N86" s="18"/>
      <x:c r="O86" s="17"/>
      <x:c r="P86" s="19"/>
      <x:c r="Q86" s="18"/>
      <x:c r="R86" s="20"/>
      <x:c r="S86" s="17"/>
      <x:c r="T86" s="18"/>
      <x:c r="U86" s="17"/>
      <x:c r="V86" s="17"/>
      <x:c r="W86" s="17"/>
      <x:c r="X86" s="17"/>
      <x:c r="Y86" s="17"/>
      <x:c r="Z86" s="17"/>
      <x:c r="AA86" s="21" t="str">
        <x:f>IF(COUNT(B86,M86)&lt;2,"",IF(M86&lt;B86,"Invalid dates",(M86-B86)*24))</x:f>
      </x:c>
    </x:row>
    <x:row r="87" ht="25" customHeight="1">
      <x:c r="A87" s="17"/>
      <x:c r="B87" s="18"/>
      <x:c r="C87" s="17"/>
      <x:c r="D87" s="17"/>
      <x:c r="E87" s="17"/>
      <x:c r="F87" s="17"/>
      <x:c r="G87" s="17"/>
      <x:c r="H87" s="17"/>
      <x:c r="I87" s="17"/>
      <x:c r="J87" s="17"/>
      <x:c r="K87" s="18"/>
      <x:c r="L87" s="18"/>
      <x:c r="M87" s="18"/>
      <x:c r="N87" s="18"/>
      <x:c r="O87" s="17"/>
      <x:c r="P87" s="19"/>
      <x:c r="Q87" s="18"/>
      <x:c r="R87" s="20"/>
      <x:c r="S87" s="17"/>
      <x:c r="T87" s="18"/>
      <x:c r="U87" s="17"/>
      <x:c r="V87" s="17"/>
      <x:c r="W87" s="17"/>
      <x:c r="X87" s="17"/>
      <x:c r="Y87" s="17"/>
      <x:c r="Z87" s="17"/>
      <x:c r="AA87" s="21" t="str">
        <x:f>IF(COUNT(B87,M87)&lt;2,"",IF(M87&lt;B87,"Invalid dates",(M87-B87)*24))</x:f>
      </x:c>
    </x:row>
    <x:row r="88" ht="25" customHeight="1">
      <x:c r="A88" s="17"/>
      <x:c r="B88" s="18"/>
      <x:c r="C88" s="17"/>
      <x:c r="D88" s="17"/>
      <x:c r="E88" s="17"/>
      <x:c r="F88" s="17"/>
      <x:c r="G88" s="17"/>
      <x:c r="H88" s="17"/>
      <x:c r="I88" s="17"/>
      <x:c r="J88" s="17"/>
      <x:c r="K88" s="18"/>
      <x:c r="L88" s="18"/>
      <x:c r="M88" s="18"/>
      <x:c r="N88" s="18"/>
      <x:c r="O88" s="17"/>
      <x:c r="P88" s="19"/>
      <x:c r="Q88" s="18"/>
      <x:c r="R88" s="20"/>
      <x:c r="S88" s="17"/>
      <x:c r="T88" s="18"/>
      <x:c r="U88" s="17"/>
      <x:c r="V88" s="17"/>
      <x:c r="W88" s="17"/>
      <x:c r="X88" s="17"/>
      <x:c r="Y88" s="17"/>
      <x:c r="Z88" s="17"/>
      <x:c r="AA88" s="21" t="str">
        <x:f>IF(COUNT(B88,M88)&lt;2,"",IF(M88&lt;B88,"Invalid dates",(M88-B88)*24))</x:f>
      </x:c>
    </x:row>
    <x:row r="89" ht="25" customHeight="1">
      <x:c r="A89" s="17"/>
      <x:c r="B89" s="18"/>
      <x:c r="C89" s="17"/>
      <x:c r="D89" s="17"/>
      <x:c r="E89" s="17"/>
      <x:c r="F89" s="17"/>
      <x:c r="G89" s="17"/>
      <x:c r="H89" s="17"/>
      <x:c r="I89" s="17"/>
      <x:c r="J89" s="17"/>
      <x:c r="K89" s="18"/>
      <x:c r="L89" s="18"/>
      <x:c r="M89" s="18"/>
      <x:c r="N89" s="18"/>
      <x:c r="O89" s="17"/>
      <x:c r="P89" s="19"/>
      <x:c r="Q89" s="18"/>
      <x:c r="R89" s="20"/>
      <x:c r="S89" s="17"/>
      <x:c r="T89" s="18"/>
      <x:c r="U89" s="17"/>
      <x:c r="V89" s="17"/>
      <x:c r="W89" s="17"/>
      <x:c r="X89" s="17"/>
      <x:c r="Y89" s="17"/>
      <x:c r="Z89" s="17"/>
      <x:c r="AA89" s="21" t="str">
        <x:f>IF(COUNT(B89,M89)&lt;2,"",IF(M89&lt;B89,"Invalid dates",(M89-B89)*24))</x:f>
      </x:c>
    </x:row>
    <x:row r="90" ht="25" customHeight="1">
      <x:c r="A90" s="17"/>
      <x:c r="B90" s="18"/>
      <x:c r="C90" s="17"/>
      <x:c r="D90" s="17"/>
      <x:c r="E90" s="17"/>
      <x:c r="F90" s="17"/>
      <x:c r="G90" s="17"/>
      <x:c r="H90" s="17"/>
      <x:c r="I90" s="17"/>
      <x:c r="J90" s="17"/>
      <x:c r="K90" s="18"/>
      <x:c r="L90" s="18"/>
      <x:c r="M90" s="18"/>
      <x:c r="N90" s="18"/>
      <x:c r="O90" s="17"/>
      <x:c r="P90" s="19"/>
      <x:c r="Q90" s="18"/>
      <x:c r="R90" s="20"/>
      <x:c r="S90" s="17"/>
      <x:c r="T90" s="18"/>
      <x:c r="U90" s="17"/>
      <x:c r="V90" s="17"/>
      <x:c r="W90" s="17"/>
      <x:c r="X90" s="17"/>
      <x:c r="Y90" s="17"/>
      <x:c r="Z90" s="17"/>
      <x:c r="AA90" s="21" t="str">
        <x:f>IF(COUNT(B90,M90)&lt;2,"",IF(M90&lt;B90,"Invalid dates",(M90-B90)*24))</x:f>
      </x:c>
    </x:row>
    <x:row r="91" ht="25" customHeight="1">
      <x:c r="A91" s="17"/>
      <x:c r="B91" s="18"/>
      <x:c r="C91" s="17"/>
      <x:c r="D91" s="17"/>
      <x:c r="E91" s="17"/>
      <x:c r="F91" s="17"/>
      <x:c r="G91" s="17"/>
      <x:c r="H91" s="17"/>
      <x:c r="I91" s="17"/>
      <x:c r="J91" s="17"/>
      <x:c r="K91" s="18"/>
      <x:c r="L91" s="18"/>
      <x:c r="M91" s="18"/>
      <x:c r="N91" s="18"/>
      <x:c r="O91" s="17"/>
      <x:c r="P91" s="19"/>
      <x:c r="Q91" s="18"/>
      <x:c r="R91" s="20"/>
      <x:c r="S91" s="17"/>
      <x:c r="T91" s="18"/>
      <x:c r="U91" s="17"/>
      <x:c r="V91" s="17"/>
      <x:c r="W91" s="17"/>
      <x:c r="X91" s="17"/>
      <x:c r="Y91" s="17"/>
      <x:c r="Z91" s="17"/>
      <x:c r="AA91" s="21" t="str">
        <x:f>IF(COUNT(B91,M91)&lt;2,"",IF(M91&lt;B91,"Invalid dates",(M91-B91)*24))</x:f>
      </x:c>
    </x:row>
    <x:row r="92" ht="25" customHeight="1">
      <x:c r="A92" s="17"/>
      <x:c r="B92" s="18"/>
      <x:c r="C92" s="17"/>
      <x:c r="D92" s="17"/>
      <x:c r="E92" s="17"/>
      <x:c r="F92" s="17"/>
      <x:c r="G92" s="17"/>
      <x:c r="H92" s="17"/>
      <x:c r="I92" s="17"/>
      <x:c r="J92" s="17"/>
      <x:c r="K92" s="18"/>
      <x:c r="L92" s="18"/>
      <x:c r="M92" s="18"/>
      <x:c r="N92" s="18"/>
      <x:c r="O92" s="17"/>
      <x:c r="P92" s="19"/>
      <x:c r="Q92" s="18"/>
      <x:c r="R92" s="20"/>
      <x:c r="S92" s="17"/>
      <x:c r="T92" s="18"/>
      <x:c r="U92" s="17"/>
      <x:c r="V92" s="17"/>
      <x:c r="W92" s="17"/>
      <x:c r="X92" s="17"/>
      <x:c r="Y92" s="17"/>
      <x:c r="Z92" s="17"/>
      <x:c r="AA92" s="21" t="str">
        <x:f>IF(COUNT(B92,M92)&lt;2,"",IF(M92&lt;B92,"Invalid dates",(M92-B92)*24))</x:f>
      </x:c>
    </x:row>
    <x:row r="93" ht="25" customHeight="1">
      <x:c r="A93" s="17"/>
      <x:c r="B93" s="18"/>
      <x:c r="C93" s="17"/>
      <x:c r="D93" s="17"/>
      <x:c r="E93" s="17"/>
      <x:c r="F93" s="17"/>
      <x:c r="G93" s="17"/>
      <x:c r="H93" s="17"/>
      <x:c r="I93" s="17"/>
      <x:c r="J93" s="17"/>
      <x:c r="K93" s="18"/>
      <x:c r="L93" s="18"/>
      <x:c r="M93" s="18"/>
      <x:c r="N93" s="18"/>
      <x:c r="O93" s="17"/>
      <x:c r="P93" s="19"/>
      <x:c r="Q93" s="18"/>
      <x:c r="R93" s="20"/>
      <x:c r="S93" s="17"/>
      <x:c r="T93" s="18"/>
      <x:c r="U93" s="17"/>
      <x:c r="V93" s="17"/>
      <x:c r="W93" s="17"/>
      <x:c r="X93" s="17"/>
      <x:c r="Y93" s="17"/>
      <x:c r="Z93" s="17"/>
      <x:c r="AA93" s="21" t="str">
        <x:f>IF(COUNT(B93,M93)&lt;2,"",IF(M93&lt;B93,"Invalid dates",(M93-B93)*24))</x:f>
      </x:c>
    </x:row>
    <x:row r="94" ht="25" customHeight="1">
      <x:c r="A94" s="17"/>
      <x:c r="B94" s="18"/>
      <x:c r="C94" s="17"/>
      <x:c r="D94" s="17"/>
      <x:c r="E94" s="17"/>
      <x:c r="F94" s="17"/>
      <x:c r="G94" s="17"/>
      <x:c r="H94" s="17"/>
      <x:c r="I94" s="17"/>
      <x:c r="J94" s="17"/>
      <x:c r="K94" s="18"/>
      <x:c r="L94" s="18"/>
      <x:c r="M94" s="18"/>
      <x:c r="N94" s="18"/>
      <x:c r="O94" s="17"/>
      <x:c r="P94" s="19"/>
      <x:c r="Q94" s="18"/>
      <x:c r="R94" s="20"/>
      <x:c r="S94" s="17"/>
      <x:c r="T94" s="18"/>
      <x:c r="U94" s="17"/>
      <x:c r="V94" s="17"/>
      <x:c r="W94" s="17"/>
      <x:c r="X94" s="17"/>
      <x:c r="Y94" s="17"/>
      <x:c r="Z94" s="17"/>
      <x:c r="AA94" s="21" t="str">
        <x:f>IF(COUNT(B94,M94)&lt;2,"",IF(M94&lt;B94,"Invalid dates",(M94-B94)*24))</x:f>
      </x:c>
    </x:row>
    <x:row r="95" ht="25" customHeight="1">
      <x:c r="A95" s="17"/>
      <x:c r="B95" s="18"/>
      <x:c r="C95" s="17"/>
      <x:c r="D95" s="17"/>
      <x:c r="E95" s="17"/>
      <x:c r="F95" s="17"/>
      <x:c r="G95" s="17"/>
      <x:c r="H95" s="17"/>
      <x:c r="I95" s="17"/>
      <x:c r="J95" s="17"/>
      <x:c r="K95" s="18"/>
      <x:c r="L95" s="18"/>
      <x:c r="M95" s="18"/>
      <x:c r="N95" s="18"/>
      <x:c r="O95" s="17"/>
      <x:c r="P95" s="19"/>
      <x:c r="Q95" s="18"/>
      <x:c r="R95" s="20"/>
      <x:c r="S95" s="17"/>
      <x:c r="T95" s="18"/>
      <x:c r="U95" s="17"/>
      <x:c r="V95" s="17"/>
      <x:c r="W95" s="17"/>
      <x:c r="X95" s="17"/>
      <x:c r="Y95" s="17"/>
      <x:c r="Z95" s="17"/>
      <x:c r="AA95" s="21" t="str">
        <x:f>IF(COUNT(B95,M95)&lt;2,"",IF(M95&lt;B95,"Invalid dates",(M95-B95)*24))</x:f>
      </x:c>
    </x:row>
    <x:row r="96" ht="25" customHeight="1">
      <x:c r="A96" s="17"/>
      <x:c r="B96" s="18"/>
      <x:c r="C96" s="17"/>
      <x:c r="D96" s="17"/>
      <x:c r="E96" s="17"/>
      <x:c r="F96" s="17"/>
      <x:c r="G96" s="17"/>
      <x:c r="H96" s="17"/>
      <x:c r="I96" s="17"/>
      <x:c r="J96" s="17"/>
      <x:c r="K96" s="18"/>
      <x:c r="L96" s="18"/>
      <x:c r="M96" s="18"/>
      <x:c r="N96" s="18"/>
      <x:c r="O96" s="17"/>
      <x:c r="P96" s="19"/>
      <x:c r="Q96" s="18"/>
      <x:c r="R96" s="20"/>
      <x:c r="S96" s="17"/>
      <x:c r="T96" s="18"/>
      <x:c r="U96" s="17"/>
      <x:c r="V96" s="17"/>
      <x:c r="W96" s="17"/>
      <x:c r="X96" s="17"/>
      <x:c r="Y96" s="17"/>
      <x:c r="Z96" s="17"/>
      <x:c r="AA96" s="21" t="str">
        <x:f>IF(COUNT(B96,M96)&lt;2,"",IF(M96&lt;B96,"Invalid dates",(M96-B96)*24))</x:f>
      </x:c>
    </x:row>
    <x:row r="97" ht="25" customHeight="1">
      <x:c r="A97" s="17"/>
      <x:c r="B97" s="18"/>
      <x:c r="C97" s="17"/>
      <x:c r="D97" s="17"/>
      <x:c r="E97" s="17"/>
      <x:c r="F97" s="17"/>
      <x:c r="G97" s="17"/>
      <x:c r="H97" s="17"/>
      <x:c r="I97" s="17"/>
      <x:c r="J97" s="17"/>
      <x:c r="K97" s="18"/>
      <x:c r="L97" s="18"/>
      <x:c r="M97" s="18"/>
      <x:c r="N97" s="18"/>
      <x:c r="O97" s="17"/>
      <x:c r="P97" s="19"/>
      <x:c r="Q97" s="18"/>
      <x:c r="R97" s="20"/>
      <x:c r="S97" s="17"/>
      <x:c r="T97" s="18"/>
      <x:c r="U97" s="17"/>
      <x:c r="V97" s="17"/>
      <x:c r="W97" s="17"/>
      <x:c r="X97" s="17"/>
      <x:c r="Y97" s="17"/>
      <x:c r="Z97" s="17"/>
      <x:c r="AA97" s="21" t="str">
        <x:f>IF(COUNT(B97,M97)&lt;2,"",IF(M97&lt;B97,"Invalid dates",(M97-B97)*24))</x:f>
      </x:c>
    </x:row>
    <x:row r="98" ht="25" customHeight="1">
      <x:c r="A98" s="17"/>
      <x:c r="B98" s="18"/>
      <x:c r="C98" s="17"/>
      <x:c r="D98" s="17"/>
      <x:c r="E98" s="17"/>
      <x:c r="F98" s="17"/>
      <x:c r="G98" s="17"/>
      <x:c r="H98" s="17"/>
      <x:c r="I98" s="17"/>
      <x:c r="J98" s="17"/>
      <x:c r="K98" s="18"/>
      <x:c r="L98" s="18"/>
      <x:c r="M98" s="18"/>
      <x:c r="N98" s="18"/>
      <x:c r="O98" s="17"/>
      <x:c r="P98" s="19"/>
      <x:c r="Q98" s="18"/>
      <x:c r="R98" s="20"/>
      <x:c r="S98" s="17"/>
      <x:c r="T98" s="18"/>
      <x:c r="U98" s="17"/>
      <x:c r="V98" s="17"/>
      <x:c r="W98" s="17"/>
      <x:c r="X98" s="17"/>
      <x:c r="Y98" s="17"/>
      <x:c r="Z98" s="17"/>
      <x:c r="AA98" s="21" t="str">
        <x:f>IF(COUNT(B98,M98)&lt;2,"",IF(M98&lt;B98,"Invalid dates",(M98-B98)*24))</x:f>
      </x:c>
    </x:row>
    <x:row r="99" ht="25" customHeight="1">
      <x:c r="A99" s="17"/>
      <x:c r="B99" s="18"/>
      <x:c r="C99" s="17"/>
      <x:c r="D99" s="17"/>
      <x:c r="E99" s="17"/>
      <x:c r="F99" s="17"/>
      <x:c r="G99" s="17"/>
      <x:c r="H99" s="17"/>
      <x:c r="I99" s="17"/>
      <x:c r="J99" s="17"/>
      <x:c r="K99" s="18"/>
      <x:c r="L99" s="18"/>
      <x:c r="M99" s="18"/>
      <x:c r="N99" s="18"/>
      <x:c r="O99" s="17"/>
      <x:c r="P99" s="19"/>
      <x:c r="Q99" s="18"/>
      <x:c r="R99" s="20"/>
      <x:c r="S99" s="17"/>
      <x:c r="T99" s="18"/>
      <x:c r="U99" s="17"/>
      <x:c r="V99" s="17"/>
      <x:c r="W99" s="17"/>
      <x:c r="X99" s="17"/>
      <x:c r="Y99" s="17"/>
      <x:c r="Z99" s="17"/>
      <x:c r="AA99" s="21" t="str">
        <x:f>IF(COUNT(B99,M99)&lt;2,"",IF(M99&lt;B99,"Invalid dates",(M99-B99)*24))</x:f>
      </x:c>
    </x:row>
    <x:row r="100" ht="25" customHeight="1">
      <x:c r="A100" s="17"/>
      <x:c r="B100" s="18"/>
      <x:c r="C100" s="17"/>
      <x:c r="D100" s="17"/>
      <x:c r="E100" s="17"/>
      <x:c r="F100" s="17"/>
      <x:c r="G100" s="17"/>
      <x:c r="H100" s="17"/>
      <x:c r="I100" s="17"/>
      <x:c r="J100" s="17"/>
      <x:c r="K100" s="18"/>
      <x:c r="L100" s="18"/>
      <x:c r="M100" s="18"/>
      <x:c r="N100" s="18"/>
      <x:c r="O100" s="17"/>
      <x:c r="P100" s="19"/>
      <x:c r="Q100" s="18"/>
      <x:c r="R100" s="20"/>
      <x:c r="S100" s="17"/>
      <x:c r="T100" s="18"/>
      <x:c r="U100" s="17"/>
      <x:c r="V100" s="17"/>
      <x:c r="W100" s="17"/>
      <x:c r="X100" s="17"/>
      <x:c r="Y100" s="17"/>
      <x:c r="Z100" s="17"/>
      <x:c r="AA100" s="21" t="str">
        <x:f>IF(COUNT(B100,M100)&lt;2,"",IF(M100&lt;B100,"Invalid dates",(M100-B100)*24))</x:f>
      </x:c>
    </x:row>
    <x:row r="101" ht="25" customHeight="1">
      <x:c r="A101" s="17"/>
      <x:c r="B101" s="18"/>
      <x:c r="C101" s="17"/>
      <x:c r="D101" s="17"/>
      <x:c r="E101" s="17"/>
      <x:c r="F101" s="17"/>
      <x:c r="G101" s="17"/>
      <x:c r="H101" s="17"/>
      <x:c r="I101" s="17"/>
      <x:c r="J101" s="17"/>
      <x:c r="K101" s="18"/>
      <x:c r="L101" s="18"/>
      <x:c r="M101" s="18"/>
      <x:c r="N101" s="18"/>
      <x:c r="O101" s="17"/>
      <x:c r="P101" s="19"/>
      <x:c r="Q101" s="18"/>
      <x:c r="R101" s="20"/>
      <x:c r="S101" s="17"/>
      <x:c r="T101" s="18"/>
      <x:c r="U101" s="17"/>
      <x:c r="V101" s="17"/>
      <x:c r="W101" s="17"/>
      <x:c r="X101" s="17"/>
      <x:c r="Y101" s="17"/>
      <x:c r="Z101" s="17"/>
      <x:c r="AA101" s="21" t="str">
        <x:f>IF(COUNT(B101,M101)&lt;2,"",IF(M101&lt;B101,"Invalid dates",(M101-B101)*24))</x:f>
      </x:c>
    </x:row>
    <x:row r="102" ht="25" customHeight="1">
      <x:c r="A102" s="17"/>
      <x:c r="B102" s="18"/>
      <x:c r="C102" s="17"/>
      <x:c r="D102" s="17"/>
      <x:c r="E102" s="17"/>
      <x:c r="F102" s="17"/>
      <x:c r="G102" s="17"/>
      <x:c r="H102" s="17"/>
      <x:c r="I102" s="17"/>
      <x:c r="J102" s="17"/>
      <x:c r="K102" s="18"/>
      <x:c r="L102" s="18"/>
      <x:c r="M102" s="18"/>
      <x:c r="N102" s="18"/>
      <x:c r="O102" s="17"/>
      <x:c r="P102" s="19"/>
      <x:c r="Q102" s="18"/>
      <x:c r="R102" s="20"/>
      <x:c r="S102" s="17"/>
      <x:c r="T102" s="18"/>
      <x:c r="U102" s="17"/>
      <x:c r="V102" s="17"/>
      <x:c r="W102" s="17"/>
      <x:c r="X102" s="17"/>
      <x:c r="Y102" s="17"/>
      <x:c r="Z102" s="17"/>
      <x:c r="AA102" s="21" t="str">
        <x:f>IF(COUNT(B102,M102)&lt;2,"",IF(M102&lt;B102,"Invalid dates",(M102-B102)*24))</x:f>
      </x:c>
    </x:row>
    <x:row r="103" ht="25" customHeight="1">
      <x:c r="A103" s="17"/>
      <x:c r="B103" s="18"/>
      <x:c r="C103" s="17"/>
      <x:c r="D103" s="17"/>
      <x:c r="E103" s="17"/>
      <x:c r="F103" s="17"/>
      <x:c r="G103" s="17"/>
      <x:c r="H103" s="17"/>
      <x:c r="I103" s="17"/>
      <x:c r="J103" s="17"/>
      <x:c r="K103" s="18"/>
      <x:c r="L103" s="18"/>
      <x:c r="M103" s="18"/>
      <x:c r="N103" s="18"/>
      <x:c r="O103" s="17"/>
      <x:c r="P103" s="19"/>
      <x:c r="Q103" s="18"/>
      <x:c r="R103" s="20"/>
      <x:c r="S103" s="17"/>
      <x:c r="T103" s="18"/>
      <x:c r="U103" s="17"/>
      <x:c r="V103" s="17"/>
      <x:c r="W103" s="17"/>
      <x:c r="X103" s="17"/>
      <x:c r="Y103" s="17"/>
      <x:c r="Z103" s="17"/>
      <x:c r="AA103" s="21" t="str">
        <x:f>IF(COUNT(B103,M103)&lt;2,"",IF(M103&lt;B103,"Invalid dates",(M103-B103)*24))</x:f>
      </x:c>
    </x:row>
    <x:row r="104" ht="25" customHeight="1">
      <x:c r="A104" s="17"/>
      <x:c r="B104" s="18"/>
      <x:c r="C104" s="17"/>
      <x:c r="D104" s="17"/>
      <x:c r="E104" s="17"/>
      <x:c r="F104" s="17"/>
      <x:c r="G104" s="17"/>
      <x:c r="H104" s="17"/>
      <x:c r="I104" s="17"/>
      <x:c r="J104" s="17"/>
      <x:c r="K104" s="18"/>
      <x:c r="L104" s="18"/>
      <x:c r="M104" s="18"/>
      <x:c r="N104" s="18"/>
      <x:c r="O104" s="17"/>
      <x:c r="P104" s="19"/>
      <x:c r="Q104" s="18"/>
      <x:c r="R104" s="20"/>
      <x:c r="S104" s="17"/>
      <x:c r="T104" s="18"/>
      <x:c r="U104" s="17"/>
      <x:c r="V104" s="17"/>
      <x:c r="W104" s="17"/>
      <x:c r="X104" s="17"/>
      <x:c r="Y104" s="17"/>
      <x:c r="Z104" s="17"/>
      <x:c r="AA104" s="21" t="str">
        <x:f>IF(COUNT(B104,M104)&lt;2,"",IF(M104&lt;B104,"Invalid dates",(M104-B104)*24))</x:f>
      </x:c>
    </x:row>
    <x:row r="105" ht="25" customHeight="1">
      <x:c r="A105" s="17"/>
      <x:c r="B105" s="18"/>
      <x:c r="C105" s="17"/>
      <x:c r="D105" s="17"/>
      <x:c r="E105" s="17"/>
      <x:c r="F105" s="17"/>
      <x:c r="G105" s="17"/>
      <x:c r="H105" s="17"/>
      <x:c r="I105" s="17"/>
      <x:c r="J105" s="17"/>
      <x:c r="K105" s="18"/>
      <x:c r="L105" s="18"/>
      <x:c r="M105" s="18"/>
      <x:c r="N105" s="18"/>
      <x:c r="O105" s="17"/>
      <x:c r="P105" s="19"/>
      <x:c r="Q105" s="18"/>
      <x:c r="R105" s="20"/>
      <x:c r="S105" s="17"/>
      <x:c r="T105" s="18"/>
      <x:c r="U105" s="17"/>
      <x:c r="V105" s="17"/>
      <x:c r="W105" s="17"/>
      <x:c r="X105" s="17"/>
      <x:c r="Y105" s="17"/>
      <x:c r="Z105" s="17"/>
      <x:c r="AA105" s="21" t="str">
        <x:f>IF(COUNT(B105,M105)&lt;2,"",IF(M105&lt;B105,"Invalid dates",(M105-B105)*24))</x:f>
      </x:c>
    </x:row>
  </x:sheetData>
  <x:conditionalFormatting sqref="J6:J105">
    <x:cfRule type="containsText" dxfId="0" priority="1" operator="containsText" text="Won"/>
  </x:conditionalFormatting>
  <x:dataValidations count="6">
    <x:dataValidation type="list" sqref="J6:J105">
      <x:formula1>"New inquiry,Initial contact,Qualified opportunity,Scope definition,Proposal sent,Won,Lost"</x:formula1>
    </x:dataValidation>
    <x:dataValidation type="list" sqref="E6:E105">
      <x:formula1>"Small &amp; Medium Businesses,Startups,Enterprises,Entrepreneurs &amp; Project Founders,Agencies &amp; Service Companies,Government Entities,Nonprofit Organizations"</x:formula1>
    </x:dataValidation>
    <x:dataValidation type="list" sqref="G6:G105">
      <x:formula1>"choose,custom,web,mobile-app,backend-api,integration,consulting,support,cloud"</x:formula1>
    </x:dataValidation>
    <x:dataValidation type="list" sqref="H6:H105">
      <x:formula1>"scope,build,operate"</x:formula1>
    </x:dataValidation>
    <x:dataValidation type="list" sqref="X6:X105">
      <x:formula1>"Yes,No,Unknown"</x:formula1>
    </x:dataValidation>
    <x:dataValidation type="list" sqref="Z6:Z105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1d5c9b605e455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Project cost estimate and actual cost</x:v>
      </x:c>
      <x:c r="B2" s="2"/>
      <x:c r="C2" s="2"/>
      <x:c r="D2" s="2"/>
      <x:c r="E2" s="2"/>
      <x:c r="F2" s="2"/>
      <x:c r="G2" s="2"/>
      <x:c r="H2" s="2"/>
    </x:row>
    <x:row r="3">
      <x:c r="A3" s="4" t="str">
        <x:v>Enter one project per copy. Blue inputs. Hours and fully loaded internal cost/hour use one selected currency. Blank means unknown; enter 0 when none.</x:v>
      </x:c>
      <x:c r="B3" s="2"/>
      <x:c r="C3" s="2"/>
      <x:c r="D3" s="2"/>
      <x:c r="E3" s="2"/>
      <x:c r="F3" s="2"/>
      <x:c r="G3" s="2"/>
      <x:c r="H3" s="2"/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2" t="str">
        <x:v>Project ID</x:v>
      </x:c>
      <x:c r="B5" s="17"/>
      <x:c r="C5" s="17"/>
      <x:c r="D5" s="2"/>
      <x:c r="E5" s="2"/>
      <x:c r="F5" s="2"/>
      <x:c r="G5" s="2"/>
      <x:c r="H5" s="2"/>
    </x:row>
    <x:row r="6">
      <x:c r="A6" s="2" t="str">
        <x:v>Currency</x:v>
      </x:c>
      <x:c r="B6" s="17"/>
      <x:c r="C6" s="17"/>
      <x:c r="D6" s="2"/>
      <x:c r="E6" s="2"/>
      <x:c r="F6" s="2"/>
      <x:c r="G6" s="2"/>
      <x:c r="H6" s="2"/>
    </x:row>
    <x:row r="7">
      <x:c r="A7" s="2" t="str">
        <x:v>Scope version / estimate date</x:v>
      </x:c>
      <x:c r="B7" s="17"/>
      <x:c r="C7" s="17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 ht="44" customHeight="1">
      <x:c r="A9" s="14" t="str">
        <x:v>Activity</x:v>
      </x:c>
      <x:c r="B9" s="15" t="str">
        <x:v>Est. hours</x:v>
      </x:c>
      <x:c r="C9" s="15" t="str">
        <x:v>Est. cost/hour</x:v>
      </x:c>
      <x:c r="D9" s="15" t="str">
        <x:v>Est. cost</x:v>
      </x:c>
      <x:c r="E9" s="15" t="str">
        <x:v>Actual hours</x:v>
      </x:c>
      <x:c r="F9" s="15" t="str">
        <x:v>Actual cost/hour</x:v>
      </x:c>
      <x:c r="G9" s="15" t="str">
        <x:v>Actual cost</x:v>
      </x:c>
      <x:c r="H9" s="16" t="str">
        <x:v>Cost variance</x:v>
      </x:c>
    </x:row>
    <x:row r="10">
      <x:c r="A10" s="2" t="str">
        <x:v>Analysis</x:v>
      </x:c>
      <x:c r="B10" s="24"/>
      <x:c r="C10" s="24"/>
      <x:c r="D10" s="25" t="str">
        <x:f>IF(COUNT(B10:C10)&lt;2,"",B10*C10)</x:f>
      </x:c>
      <x:c r="E10" s="24"/>
      <x:c r="F10" s="24"/>
      <x:c r="G10" s="25" t="str">
        <x:f>IF(COUNT(E10:F10)&lt;2,"",E10*F10)</x:f>
      </x:c>
      <x:c r="H10" s="25" t="str">
        <x:f>IF(COUNT(D10,G10)&lt;2,"",G10-D10)</x:f>
      </x:c>
    </x:row>
    <x:row r="11">
      <x:c r="A11" s="2" t="str">
        <x:v>Design</x:v>
      </x:c>
      <x:c r="B11" s="24"/>
      <x:c r="C11" s="24"/>
      <x:c r="D11" s="25" t="str">
        <x:f>IF(COUNT(B11:C11)&lt;2,"",B11*C11)</x:f>
      </x:c>
      <x:c r="E11" s="24"/>
      <x:c r="F11" s="24"/>
      <x:c r="G11" s="25" t="str">
        <x:f>IF(COUNT(E11:F11)&lt;2,"",E11*F11)</x:f>
      </x:c>
      <x:c r="H11" s="25" t="str">
        <x:f>IF(COUNT(D11,G11)&lt;2,"",G11-D11)</x:f>
      </x:c>
    </x:row>
    <x:row r="12">
      <x:c r="A12" s="2" t="str">
        <x:v>Development</x:v>
      </x:c>
      <x:c r="B12" s="24"/>
      <x:c r="C12" s="24"/>
      <x:c r="D12" s="25" t="str">
        <x:f>IF(COUNT(B12:C12)&lt;2,"",B12*C12)</x:f>
      </x:c>
      <x:c r="E12" s="24"/>
      <x:c r="F12" s="24"/>
      <x:c r="G12" s="25" t="str">
        <x:f>IF(COUNT(E12:F12)&lt;2,"",E12*F12)</x:f>
      </x:c>
      <x:c r="H12" s="25" t="str">
        <x:f>IF(COUNT(D12,G12)&lt;2,"",G12-D12)</x:f>
      </x:c>
    </x:row>
    <x:row r="13">
      <x:c r="A13" s="2" t="str">
        <x:v>Testing</x:v>
      </x:c>
      <x:c r="B13" s="24"/>
      <x:c r="C13" s="24"/>
      <x:c r="D13" s="25" t="str">
        <x:f>IF(COUNT(B13:C13)&lt;2,"",B13*C13)</x:f>
      </x:c>
      <x:c r="E13" s="24"/>
      <x:c r="F13" s="24"/>
      <x:c r="G13" s="25" t="str">
        <x:f>IF(COUNT(E13:F13)&lt;2,"",E13*F13)</x:f>
      </x:c>
      <x:c r="H13" s="25" t="str">
        <x:f>IF(COUNT(D13,G13)&lt;2,"",G13-D13)</x:f>
      </x:c>
    </x:row>
    <x:row r="14">
      <x:c r="A14" s="2" t="str">
        <x:v>Project management</x:v>
      </x:c>
      <x:c r="B14" s="24"/>
      <x:c r="C14" s="24"/>
      <x:c r="D14" s="25" t="str">
        <x:f>IF(COUNT(B14:C14)&lt;2,"",B14*C14)</x:f>
      </x:c>
      <x:c r="E14" s="24"/>
      <x:c r="F14" s="24"/>
      <x:c r="G14" s="25" t="str">
        <x:f>IF(COUNT(E14:F14)&lt;2,"",E14*F14)</x:f>
      </x:c>
      <x:c r="H14" s="25" t="str">
        <x:f>IF(COUNT(D14,G14)&lt;2,"",G14-D14)</x:f>
      </x:c>
    </x:row>
    <x:row r="15">
      <x:c r="A15" s="2" t="str">
        <x:v>Review and handover</x:v>
      </x:c>
      <x:c r="B15" s="24"/>
      <x:c r="C15" s="24"/>
      <x:c r="D15" s="25" t="str">
        <x:f>IF(COUNT(B15:C15)&lt;2,"",B15*C15)</x:f>
      </x:c>
      <x:c r="E15" s="24"/>
      <x:c r="F15" s="24"/>
      <x:c r="G15" s="25" t="str">
        <x:f>IF(COUNT(E15:F15)&lt;2,"",E15*F15)</x:f>
      </x:c>
      <x:c r="H15" s="25" t="str">
        <x:f>IF(COUNT(D15,G15)&lt;2,"",G15-D15)</x:f>
      </x:c>
    </x:row>
    <x:row r="16">
      <x:c r="A16" s="2" t="str">
        <x:v>Expected revisions</x:v>
      </x:c>
      <x:c r="B16" s="24"/>
      <x:c r="C16" s="24"/>
      <x:c r="D16" s="25" t="str">
        <x:f>IF(COUNT(B16:C16)&lt;2,"",B16*C16)</x:f>
      </x:c>
      <x:c r="E16" s="24"/>
      <x:c r="F16" s="24"/>
      <x:c r="G16" s="25" t="str">
        <x:f>IF(COUNT(E16:F16)&lt;2,"",E16*F16)</x:f>
      </x:c>
      <x:c r="H16" s="25" t="str">
        <x:f>IF(COUNT(D16,G16)&lt;2,"",G16-D16)</x:f>
      </x:c>
    </x:row>
    <x:row r="17">
      <x:c r="A17" s="2"/>
      <x:c r="B17" s="25"/>
      <x:c r="C17" s="25"/>
      <x:c r="D17" s="25"/>
      <x:c r="E17" s="25"/>
      <x:c r="F17" s="25"/>
      <x:c r="G17" s="25"/>
      <x:c r="H17" s="25"/>
    </x:row>
    <x:row r="18">
      <x:c r="A18" s="2" t="str">
        <x:v>Total effort</x:v>
      </x:c>
      <x:c r="B18" s="25" t="str">
        <x:f>IF(COUNT(B10:B16)&lt;7,"",SUM(B10:B16))</x:f>
      </x:c>
      <x:c r="C18" s="25"/>
      <x:c r="D18" s="25"/>
      <x:c r="E18" s="25" t="str">
        <x:f>IF(COUNT(E10:E16)&lt;7,"",SUM(E10:E16))</x:f>
      </x:c>
      <x:c r="F18" s="25"/>
      <x:c r="G18" s="25"/>
      <x:c r="H18" s="25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44" customHeight="1">
      <x:c r="A21" s="14" t="str">
        <x:v>External cost / basis</x:v>
      </x:c>
      <x:c r="B21" s="15" t="str">
        <x:v>Est. cost</x:v>
      </x:c>
      <x:c r="C21" s="15" t="str">
        <x:v>Actual cost</x:v>
      </x:c>
      <x:c r="D21" s="15" t="str">
        <x:v>Payer / owner</x:v>
      </x:c>
      <x:c r="E21" s="16" t="str">
        <x:v>Evidence / notes</x:v>
      </x:c>
      <x:c r="F21" s="2"/>
      <x:c r="G21" s="2"/>
      <x:c r="H21" s="2"/>
    </x:row>
    <x:row r="22">
      <x:c r="A22" s="22" t="str">
        <x:v>Hosting / environments</x:v>
      </x:c>
      <x:c r="B22" s="24"/>
      <x:c r="C22" s="24"/>
      <x:c r="D22" s="22"/>
      <x:c r="E22" s="22"/>
      <x:c r="F22" s="2"/>
      <x:c r="G22" s="2"/>
      <x:c r="H22" s="2"/>
    </x:row>
    <x:row r="23">
      <x:c r="A23" s="22" t="str">
        <x:v>Licenses / third parties</x:v>
      </x:c>
      <x:c r="B23" s="24"/>
      <x:c r="C23" s="24"/>
      <x:c r="D23" s="22"/>
      <x:c r="E23" s="22"/>
      <x:c r="F23" s="2"/>
      <x:c r="G23" s="2"/>
      <x:c r="H23" s="2"/>
    </x:row>
    <x:row r="24">
      <x:c r="A24" s="22" t="str">
        <x:v>Other external costs</x:v>
      </x:c>
      <x:c r="B24" s="24"/>
      <x:c r="C24" s="24"/>
      <x:c r="D24" s="22"/>
      <x:c r="E24" s="22"/>
      <x:c r="F24" s="2"/>
      <x:c r="G24" s="2"/>
      <x:c r="H24" s="2"/>
    </x:row>
    <x:row r="25">
      <x:c r="A25" s="22" t="str">
        <x:v>Other external costs</x:v>
      </x:c>
      <x:c r="B25" s="24"/>
      <x:c r="C25" s="24"/>
      <x:c r="D25" s="22"/>
      <x:c r="E25" s="22"/>
      <x:c r="F25" s="2"/>
      <x:c r="G25" s="2"/>
      <x:c r="H25" s="2"/>
    </x:row>
    <x:row r="26">
      <x:c r="A26" s="2"/>
      <x:c r="B26" s="25"/>
      <x:c r="C26" s="25"/>
      <x:c r="D26" s="2"/>
      <x:c r="E26" s="2"/>
      <x:c r="F26" s="2"/>
      <x:c r="G26" s="2"/>
      <x:c r="H26" s="2"/>
    </x:row>
    <x:row r="27">
      <x:c r="A27" s="2" t="str">
        <x:v>External cost total</x:v>
      </x:c>
      <x:c r="B27" s="25" t="str">
        <x:f>IF(COUNT(B22:B25)&lt;4,"",SUM(B22:B25))</x:f>
      </x:c>
      <x:c r="C27" s="25" t="str">
        <x:f>IF(COUNT(C22:C25)&lt;4,"",SUM(C22:C25))</x:f>
      </x:c>
      <x:c r="D27" s="2"/>
      <x:c r="E27" s="2"/>
      <x:c r="F27" s="2"/>
      <x:c r="G27" s="2"/>
      <x:c r="H27" s="2"/>
    </x:row>
    <x:row r="28">
      <x:c r="A28" s="2"/>
      <x:c r="B28" s="25"/>
      <x:c r="C28" s="25"/>
      <x:c r="D28" s="2"/>
      <x:c r="E28" s="2"/>
      <x:c r="F28" s="2"/>
      <x:c r="G28" s="2"/>
      <x:c r="H28" s="2"/>
    </x:row>
    <x:row r="29" ht="26" customHeight="1">
      <x:c r="A29" s="23" t="str">
        <x:v>Estimated delivery cost</x:v>
      </x:c>
      <x:c r="B29" s="25" t="str">
        <x:f>IF(AND(COUNT(D10:D16)=7,ISNUMBER(B27)),SUM(D10:D16)+B27,"")</x:f>
      </x:c>
      <x:c r="C29" s="25"/>
      <x:c r="D29" s="2" t="str">
        <x:v>Delivery cost includes all seven activities and all external-cost rows.</x:v>
      </x:c>
      <x:c r="E29" s="2"/>
      <x:c r="F29" s="2"/>
      <x:c r="G29" s="2"/>
      <x:c r="H29" s="2"/>
    </x:row>
    <x:row r="30" ht="26" customHeight="1">
      <x:c r="A30" s="23" t="str">
        <x:v>Actual delivery cost</x:v>
      </x:c>
      <x:c r="B30" s="25" t="str">
        <x:f>IF(AND(COUNT(G10:G16)=7,ISNUMBER(C27)),SUM(G10:G16)+C27,"")</x:f>
      </x:c>
      <x:c r="C30" s="25"/>
      <x:c r="D30" s="2" t="str">
        <x:v>Internal rates must include the costs you intend to allocate; they are not client prices.</x:v>
      </x:c>
      <x:c r="E30" s="2"/>
      <x:c r="F30" s="2"/>
      <x:c r="G30" s="2"/>
      <x:c r="H30" s="2"/>
    </x:row>
    <x:row r="31" ht="26" customHeight="1">
      <x:c r="A31" s="23" t="str">
        <x:v>Delivery cost variance</x:v>
      </x:c>
      <x:c r="B31" s="25" t="str">
        <x:f>IF(COUNT(B29:B30)&lt;2,"",B30-B29)</x:f>
      </x:c>
      <x:c r="C31" s="25"/>
      <x:c r="D31" s="2"/>
      <x:c r="E31" s="2"/>
      <x:c r="F31" s="2"/>
      <x:c r="G31" s="2"/>
      <x:c r="H31" s="2"/>
    </x:row>
    <x:row r="32" ht="26" customHeight="1">
      <x:c r="A32" s="23" t="str">
        <x:v>Delivery cost overrun %</x:v>
      </x:c>
      <x:c r="B32" s="26" t="str">
        <x:f>IF(COUNT(B29:B30)&lt;2,"",IF(B29=0,"n.a.",B31/B29))</x:f>
      </x:c>
      <x:c r="C32" s="25"/>
      <x:c r="D32" s="2"/>
      <x:c r="E32" s="2"/>
      <x:c r="F32" s="2"/>
      <x:c r="G32" s="2"/>
      <x:c r="H32" s="2"/>
    </x:row>
    <x:row r="33" ht="26" customHeight="1">
      <x:c r="A33" s="23" t="str">
        <x:v>Effort overrun %</x:v>
      </x:c>
      <x:c r="B33" s="26" t="str">
        <x:f>IF(COUNT(B18,E18)&lt;2,"",IF(B18=0,"n.a.",(E18-B18)/B18))</x:f>
      </x:c>
      <x:c r="C33" s="25"/>
      <x:c r="D33" s="2"/>
      <x:c r="E33" s="2"/>
      <x:c r="F33" s="2"/>
      <x:c r="G33" s="2"/>
      <x:c r="H33" s="2"/>
    </x:row>
    <x:row r="34" ht="26" customHeight="1">
      <x:c r="A34" s="23" t="str">
        <x:v>Project revenue (recognized)</x:v>
      </x:c>
      <x:c r="B34" s="24"/>
      <x:c r="C34" s="25"/>
      <x:c r="D34" s="2"/>
      <x:c r="E34" s="2"/>
      <x:c r="F34" s="2"/>
      <x:c r="G34" s="2"/>
      <x:c r="H34" s="2"/>
    </x:row>
    <x:row r="35" ht="26" customHeight="1">
      <x:c r="A35" s="23" t="str">
        <x:v>Project contribution</x:v>
      </x:c>
      <x:c r="B35" s="25" t="str">
        <x:f>IF(COUNT(B30,B34)&lt;2,"",B34-B30)</x:f>
      </x:c>
      <x:c r="C35" s="25"/>
      <x:c r="D35" s="2" t="str">
        <x:v>Project contribution excludes company overhead not allocated here, tax and financing.</x:v>
      </x:c>
      <x:c r="E35" s="2"/>
      <x:c r="F35" s="2"/>
      <x:c r="G35" s="2"/>
      <x:c r="H35" s="2"/>
    </x:row>
    <x:row r="36" ht="26" customHeight="1">
      <x:c r="A36" s="23" t="str">
        <x:v>Project margin %</x:v>
      </x:c>
      <x:c r="B36" s="26" t="str">
        <x:f>IF(COUNT(B30,B34)&lt;2,"",IF(B34=0,"n.a.",B35/B34))</x:f>
      </x:c>
      <x:c r="C36" s="25"/>
      <x:c r="D36" s="2" t="str">
        <x:v>Project margin is not overall company profit. Collections are recorded separately.</x:v>
      </x:c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</x:sheetData>
  <x:dataValidations count="4">
    <x:dataValidation type="decimal" operator="greaterThanOrEqual" sqref="B10:C16">
      <x:formula1>0</x:formula1>
    </x:dataValidation>
    <x:dataValidation type="decimal" operator="greaterThanOrEqual" sqref="E10:F16">
      <x:formula1>0</x:formula1>
    </x:dataValidation>
    <x:dataValidation type="decimal" operator="greaterThanOrEqual" sqref="B22:C25">
      <x:formula1>0</x:formula1>
    </x:dataValidation>
    <x:dataValidation type="decimal" operator="greaterThanOrEqual" sqref="B34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2" hidden="0" customWidth="1"/>
    <x:col min="16" max="16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Project results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 t="str">
        <x:v>One row per project. Copy final estimate/actual totals from its estimate copy and record the scope version. Revenue is separate from collections.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44" customHeight="1">
      <x:c r="A5" s="14" t="str">
        <x:v>Project ID</x:v>
      </x:c>
      <x:c r="B5" s="15" t="str">
        <x:v>Client ID</x:v>
      </x:c>
      <x:c r="C5" s="15" t="str">
        <x:v>Scope version</x:v>
      </x:c>
      <x:c r="D5" s="15" t="str">
        <x:v>Currency</x:v>
      </x:c>
      <x:c r="E5" s="15" t="str">
        <x:v>Est. hours</x:v>
      </x:c>
      <x:c r="F5" s="15" t="str">
        <x:v>Actual hours</x:v>
      </x:c>
      <x:c r="G5" s="15" t="str">
        <x:v>Est. delivery cost</x:v>
      </x:c>
      <x:c r="H5" s="15" t="str">
        <x:v>Actual delivery cost</x:v>
      </x:c>
      <x:c r="I5" s="15" t="str">
        <x:v>Recognized revenue</x:v>
      </x:c>
      <x:c r="J5" s="15" t="str">
        <x:v>Project contribution</x:v>
      </x:c>
      <x:c r="K5" s="15" t="str">
        <x:v>Project margin</x:v>
      </x:c>
      <x:c r="L5" s="15" t="str">
        <x:v>Effort overrun</x:v>
      </x:c>
      <x:c r="M5" s="15" t="str">
        <x:v>Cost overrun</x:v>
      </x:c>
      <x:c r="N5" s="15" t="str">
        <x:v>Collected amount</x:v>
      </x:c>
      <x:c r="O5" s="15" t="str">
        <x:v>Result notes</x:v>
      </x:c>
      <x:c r="P5" s="16" t="str">
        <x:v>Repeat / maintenance</x:v>
      </x:c>
    </x:row>
    <x:row r="6">
      <x:c r="A6" s="22"/>
      <x:c r="B6" s="22"/>
      <x:c r="C6" s="22"/>
      <x:c r="D6" s="22"/>
      <x:c r="E6" s="24"/>
      <x:c r="F6" s="24"/>
      <x:c r="G6" s="24"/>
      <x:c r="H6" s="24"/>
      <x:c r="I6" s="24"/>
      <x:c r="J6" s="25" t="str">
        <x:f>IF(COUNT(H6:I6)&lt;2,"",I6-H6)</x:f>
      </x:c>
      <x:c r="K6" s="26" t="str">
        <x:f>IF(COUNT(H6:I6)&lt;2,"",IF(I6=0,"n.a.",J6/I6))</x:f>
      </x:c>
      <x:c r="L6" s="26" t="str">
        <x:f>IF(COUNT(E6:F6)&lt;2,"",IF(E6=0,"n.a.",(F6-E6)/E6))</x:f>
      </x:c>
      <x:c r="M6" s="26" t="str">
        <x:f>IF(COUNT(G6:H6)&lt;2,"",IF(G6=0,"n.a.",(H6-G6)/G6))</x:f>
      </x:c>
      <x:c r="N6" s="27" t="str">
        <x:f>IF(A6="","",IF(COUNTIFS(Collections!$B$6:$B$105,A6,Collections!$E$6:$E$105,D6,Collections!$J$6:$J$105,"Incomplete")+COUNTIFS(Collections!$B$6:$B$105,A6,Collections!$E$6:$E$105,D6,Collections!$J$6:$J$105,"Duplicate ID")&gt;0,"Review collections",IF(COUNTIFS(Collections!$B$6:$B$105,A6,Collections!$E$6:$E$105,D6,Collections!$J$6:$J$105,"Counted")=0,"",SUMIFS(Collections!$D$6:$D$105,Collections!$B$6:$B$105,A6,Collections!$E$6:$E$105,D6,Collections!$J$6:$J$105,"Counted"))))</x:f>
      </x:c>
      <x:c r="O6" s="17"/>
      <x:c r="P6" s="17"/>
    </x:row>
    <x:row r="7">
      <x:c r="A7" s="22"/>
      <x:c r="B7" s="22"/>
      <x:c r="C7" s="22"/>
      <x:c r="D7" s="22"/>
      <x:c r="E7" s="24"/>
      <x:c r="F7" s="24"/>
      <x:c r="G7" s="24"/>
      <x:c r="H7" s="24"/>
      <x:c r="I7" s="24"/>
      <x:c r="J7" s="25" t="str">
        <x:f>IF(COUNT(H7:I7)&lt;2,"",I7-H7)</x:f>
      </x:c>
      <x:c r="K7" s="26" t="str">
        <x:f>IF(COUNT(H7:I7)&lt;2,"",IF(I7=0,"n.a.",J7/I7))</x:f>
      </x:c>
      <x:c r="L7" s="26" t="str">
        <x:f>IF(COUNT(E7:F7)&lt;2,"",IF(E7=0,"n.a.",(F7-E7)/E7))</x:f>
      </x:c>
      <x:c r="M7" s="26" t="str">
        <x:f>IF(COUNT(G7:H7)&lt;2,"",IF(G7=0,"n.a.",(H7-G7)/G7))</x:f>
      </x:c>
      <x:c r="N7" s="27" t="str">
        <x:f>IF(A7="","",IF(COUNTIFS(Collections!$B$6:$B$105,A7,Collections!$E$6:$E$105,D7,Collections!$J$6:$J$105,"Incomplete")+COUNTIFS(Collections!$B$6:$B$105,A7,Collections!$E$6:$E$105,D7,Collections!$J$6:$J$105,"Duplicate ID")&gt;0,"Review collections",IF(COUNTIFS(Collections!$B$6:$B$105,A7,Collections!$E$6:$E$105,D7,Collections!$J$6:$J$105,"Counted")=0,"",SUMIFS(Collections!$D$6:$D$105,Collections!$B$6:$B$105,A7,Collections!$E$6:$E$105,D7,Collections!$J$6:$J$105,"Counted"))))</x:f>
      </x:c>
      <x:c r="O7" s="17"/>
      <x:c r="P7" s="17"/>
    </x:row>
    <x:row r="8">
      <x:c r="A8" s="22"/>
      <x:c r="B8" s="22"/>
      <x:c r="C8" s="22"/>
      <x:c r="D8" s="22"/>
      <x:c r="E8" s="24"/>
      <x:c r="F8" s="24"/>
      <x:c r="G8" s="24"/>
      <x:c r="H8" s="24"/>
      <x:c r="I8" s="24"/>
      <x:c r="J8" s="25" t="str">
        <x:f>IF(COUNT(H8:I8)&lt;2,"",I8-H8)</x:f>
      </x:c>
      <x:c r="K8" s="26" t="str">
        <x:f>IF(COUNT(H8:I8)&lt;2,"",IF(I8=0,"n.a.",J8/I8))</x:f>
      </x:c>
      <x:c r="L8" s="26" t="str">
        <x:f>IF(COUNT(E8:F8)&lt;2,"",IF(E8=0,"n.a.",(F8-E8)/E8))</x:f>
      </x:c>
      <x:c r="M8" s="26" t="str">
        <x:f>IF(COUNT(G8:H8)&lt;2,"",IF(G8=0,"n.a.",(H8-G8)/G8))</x:f>
      </x:c>
      <x:c r="N8" s="27" t="str">
        <x:f>IF(A8="","",IF(COUNTIFS(Collections!$B$6:$B$105,A8,Collections!$E$6:$E$105,D8,Collections!$J$6:$J$105,"Incomplete")+COUNTIFS(Collections!$B$6:$B$105,A8,Collections!$E$6:$E$105,D8,Collections!$J$6:$J$105,"Duplicate ID")&gt;0,"Review collections",IF(COUNTIFS(Collections!$B$6:$B$105,A8,Collections!$E$6:$E$105,D8,Collections!$J$6:$J$105,"Counted")=0,"",SUMIFS(Collections!$D$6:$D$105,Collections!$B$6:$B$105,A8,Collections!$E$6:$E$105,D8,Collections!$J$6:$J$105,"Counted"))))</x:f>
      </x:c>
      <x:c r="O8" s="17"/>
      <x:c r="P8" s="17"/>
    </x:row>
    <x:row r="9">
      <x:c r="A9" s="22"/>
      <x:c r="B9" s="22"/>
      <x:c r="C9" s="22"/>
      <x:c r="D9" s="22"/>
      <x:c r="E9" s="24"/>
      <x:c r="F9" s="24"/>
      <x:c r="G9" s="24"/>
      <x:c r="H9" s="24"/>
      <x:c r="I9" s="24"/>
      <x:c r="J9" s="25" t="str">
        <x:f>IF(COUNT(H9:I9)&lt;2,"",I9-H9)</x:f>
      </x:c>
      <x:c r="K9" s="26" t="str">
        <x:f>IF(COUNT(H9:I9)&lt;2,"",IF(I9=0,"n.a.",J9/I9))</x:f>
      </x:c>
      <x:c r="L9" s="26" t="str">
        <x:f>IF(COUNT(E9:F9)&lt;2,"",IF(E9=0,"n.a.",(F9-E9)/E9))</x:f>
      </x:c>
      <x:c r="M9" s="26" t="str">
        <x:f>IF(COUNT(G9:H9)&lt;2,"",IF(G9=0,"n.a.",(H9-G9)/G9))</x:f>
      </x:c>
      <x:c r="N9" s="27" t="str">
        <x:f>IF(A9="","",IF(COUNTIFS(Collections!$B$6:$B$105,A9,Collections!$E$6:$E$105,D9,Collections!$J$6:$J$105,"Incomplete")+COUNTIFS(Collections!$B$6:$B$105,A9,Collections!$E$6:$E$105,D9,Collections!$J$6:$J$105,"Duplicate ID")&gt;0,"Review collections",IF(COUNTIFS(Collections!$B$6:$B$105,A9,Collections!$E$6:$E$105,D9,Collections!$J$6:$J$105,"Counted")=0,"",SUMIFS(Collections!$D$6:$D$105,Collections!$B$6:$B$105,A9,Collections!$E$6:$E$105,D9,Collections!$J$6:$J$105,"Counted"))))</x:f>
      </x:c>
      <x:c r="O9" s="17"/>
      <x:c r="P9" s="17"/>
    </x:row>
    <x:row r="10">
      <x:c r="A10" s="22"/>
      <x:c r="B10" s="22"/>
      <x:c r="C10" s="22"/>
      <x:c r="D10" s="22"/>
      <x:c r="E10" s="24"/>
      <x:c r="F10" s="24"/>
      <x:c r="G10" s="24"/>
      <x:c r="H10" s="24"/>
      <x:c r="I10" s="24"/>
      <x:c r="J10" s="25" t="str">
        <x:f>IF(COUNT(H10:I10)&lt;2,"",I10-H10)</x:f>
      </x:c>
      <x:c r="K10" s="26" t="str">
        <x:f>IF(COUNT(H10:I10)&lt;2,"",IF(I10=0,"n.a.",J10/I10))</x:f>
      </x:c>
      <x:c r="L10" s="26" t="str">
        <x:f>IF(COUNT(E10:F10)&lt;2,"",IF(E10=0,"n.a.",(F10-E10)/E10))</x:f>
      </x:c>
      <x:c r="M10" s="26" t="str">
        <x:f>IF(COUNT(G10:H10)&lt;2,"",IF(G10=0,"n.a.",(H10-G10)/G10))</x:f>
      </x:c>
      <x:c r="N10" s="27" t="str">
        <x:f>IF(A10="","",IF(COUNTIFS(Collections!$B$6:$B$105,A10,Collections!$E$6:$E$105,D10,Collections!$J$6:$J$105,"Incomplete")+COUNTIFS(Collections!$B$6:$B$105,A10,Collections!$E$6:$E$105,D10,Collections!$J$6:$J$105,"Duplicate ID")&gt;0,"Review collections",IF(COUNTIFS(Collections!$B$6:$B$105,A10,Collections!$E$6:$E$105,D10,Collections!$J$6:$J$105,"Counted")=0,"",SUMIFS(Collections!$D$6:$D$105,Collections!$B$6:$B$105,A10,Collections!$E$6:$E$105,D10,Collections!$J$6:$J$105,"Counted"))))</x:f>
      </x:c>
      <x:c r="O10" s="17"/>
      <x:c r="P10" s="17"/>
    </x:row>
    <x:row r="11">
      <x:c r="A11" s="22"/>
      <x:c r="B11" s="22"/>
      <x:c r="C11" s="22"/>
      <x:c r="D11" s="22"/>
      <x:c r="E11" s="24"/>
      <x:c r="F11" s="24"/>
      <x:c r="G11" s="24"/>
      <x:c r="H11" s="24"/>
      <x:c r="I11" s="24"/>
      <x:c r="J11" s="25" t="str">
        <x:f>IF(COUNT(H11:I11)&lt;2,"",I11-H11)</x:f>
      </x:c>
      <x:c r="K11" s="26" t="str">
        <x:f>IF(COUNT(H11:I11)&lt;2,"",IF(I11=0,"n.a.",J11/I11))</x:f>
      </x:c>
      <x:c r="L11" s="26" t="str">
        <x:f>IF(COUNT(E11:F11)&lt;2,"",IF(E11=0,"n.a.",(F11-E11)/E11))</x:f>
      </x:c>
      <x:c r="M11" s="26" t="str">
        <x:f>IF(COUNT(G11:H11)&lt;2,"",IF(G11=0,"n.a.",(H11-G11)/G11))</x:f>
      </x:c>
      <x:c r="N11" s="27" t="str">
        <x:f>IF(A11="","",IF(COUNTIFS(Collections!$B$6:$B$105,A11,Collections!$E$6:$E$105,D11,Collections!$J$6:$J$105,"Incomplete")+COUNTIFS(Collections!$B$6:$B$105,A11,Collections!$E$6:$E$105,D11,Collections!$J$6:$J$105,"Duplicate ID")&gt;0,"Review collections",IF(COUNTIFS(Collections!$B$6:$B$105,A11,Collections!$E$6:$E$105,D11,Collections!$J$6:$J$105,"Counted")=0,"",SUMIFS(Collections!$D$6:$D$105,Collections!$B$6:$B$105,A11,Collections!$E$6:$E$105,D11,Collections!$J$6:$J$105,"Counted"))))</x:f>
      </x:c>
      <x:c r="O11" s="17"/>
      <x:c r="P11" s="17"/>
    </x:row>
    <x:row r="12">
      <x:c r="A12" s="22"/>
      <x:c r="B12" s="22"/>
      <x:c r="C12" s="22"/>
      <x:c r="D12" s="22"/>
      <x:c r="E12" s="24"/>
      <x:c r="F12" s="24"/>
      <x:c r="G12" s="24"/>
      <x:c r="H12" s="24"/>
      <x:c r="I12" s="24"/>
      <x:c r="J12" s="25" t="str">
        <x:f>IF(COUNT(H12:I12)&lt;2,"",I12-H12)</x:f>
      </x:c>
      <x:c r="K12" s="26" t="str">
        <x:f>IF(COUNT(H12:I12)&lt;2,"",IF(I12=0,"n.a.",J12/I12))</x:f>
      </x:c>
      <x:c r="L12" s="26" t="str">
        <x:f>IF(COUNT(E12:F12)&lt;2,"",IF(E12=0,"n.a.",(F12-E12)/E12))</x:f>
      </x:c>
      <x:c r="M12" s="26" t="str">
        <x:f>IF(COUNT(G12:H12)&lt;2,"",IF(G12=0,"n.a.",(H12-G12)/G12))</x:f>
      </x:c>
      <x:c r="N12" s="27" t="str">
        <x:f>IF(A12="","",IF(COUNTIFS(Collections!$B$6:$B$105,A12,Collections!$E$6:$E$105,D12,Collections!$J$6:$J$105,"Incomplete")+COUNTIFS(Collections!$B$6:$B$105,A12,Collections!$E$6:$E$105,D12,Collections!$J$6:$J$105,"Duplicate ID")&gt;0,"Review collections",IF(COUNTIFS(Collections!$B$6:$B$105,A12,Collections!$E$6:$E$105,D12,Collections!$J$6:$J$105,"Counted")=0,"",SUMIFS(Collections!$D$6:$D$105,Collections!$B$6:$B$105,A12,Collections!$E$6:$E$105,D12,Collections!$J$6:$J$105,"Counted"))))</x:f>
      </x:c>
      <x:c r="O12" s="17"/>
      <x:c r="P12" s="17"/>
    </x:row>
    <x:row r="13">
      <x:c r="A13" s="22"/>
      <x:c r="B13" s="22"/>
      <x:c r="C13" s="22"/>
      <x:c r="D13" s="22"/>
      <x:c r="E13" s="24"/>
      <x:c r="F13" s="24"/>
      <x:c r="G13" s="24"/>
      <x:c r="H13" s="24"/>
      <x:c r="I13" s="24"/>
      <x:c r="J13" s="25" t="str">
        <x:f>IF(COUNT(H13:I13)&lt;2,"",I13-H13)</x:f>
      </x:c>
      <x:c r="K13" s="26" t="str">
        <x:f>IF(COUNT(H13:I13)&lt;2,"",IF(I13=0,"n.a.",J13/I13))</x:f>
      </x:c>
      <x:c r="L13" s="26" t="str">
        <x:f>IF(COUNT(E13:F13)&lt;2,"",IF(E13=0,"n.a.",(F13-E13)/E13))</x:f>
      </x:c>
      <x:c r="M13" s="26" t="str">
        <x:f>IF(COUNT(G13:H13)&lt;2,"",IF(G13=0,"n.a.",(H13-G13)/G13))</x:f>
      </x:c>
      <x:c r="N13" s="27" t="str">
        <x:f>IF(A13="","",IF(COUNTIFS(Collections!$B$6:$B$105,A13,Collections!$E$6:$E$105,D13,Collections!$J$6:$J$105,"Incomplete")+COUNTIFS(Collections!$B$6:$B$105,A13,Collections!$E$6:$E$105,D13,Collections!$J$6:$J$105,"Duplicate ID")&gt;0,"Review collections",IF(COUNTIFS(Collections!$B$6:$B$105,A13,Collections!$E$6:$E$105,D13,Collections!$J$6:$J$105,"Counted")=0,"",SUMIFS(Collections!$D$6:$D$105,Collections!$B$6:$B$105,A13,Collections!$E$6:$E$105,D13,Collections!$J$6:$J$105,"Counted"))))</x:f>
      </x:c>
      <x:c r="O13" s="17"/>
      <x:c r="P13" s="17"/>
    </x:row>
    <x:row r="14">
      <x:c r="A14" s="22"/>
      <x:c r="B14" s="22"/>
      <x:c r="C14" s="22"/>
      <x:c r="D14" s="22"/>
      <x:c r="E14" s="24"/>
      <x:c r="F14" s="24"/>
      <x:c r="G14" s="24"/>
      <x:c r="H14" s="24"/>
      <x:c r="I14" s="24"/>
      <x:c r="J14" s="25" t="str">
        <x:f>IF(COUNT(H14:I14)&lt;2,"",I14-H14)</x:f>
      </x:c>
      <x:c r="K14" s="26" t="str">
        <x:f>IF(COUNT(H14:I14)&lt;2,"",IF(I14=0,"n.a.",J14/I14))</x:f>
      </x:c>
      <x:c r="L14" s="26" t="str">
        <x:f>IF(COUNT(E14:F14)&lt;2,"",IF(E14=0,"n.a.",(F14-E14)/E14))</x:f>
      </x:c>
      <x:c r="M14" s="26" t="str">
        <x:f>IF(COUNT(G14:H14)&lt;2,"",IF(G14=0,"n.a.",(H14-G14)/G14))</x:f>
      </x:c>
      <x:c r="N14" s="27" t="str">
        <x:f>IF(A14="","",IF(COUNTIFS(Collections!$B$6:$B$105,A14,Collections!$E$6:$E$105,D14,Collections!$J$6:$J$105,"Incomplete")+COUNTIFS(Collections!$B$6:$B$105,A14,Collections!$E$6:$E$105,D14,Collections!$J$6:$J$105,"Duplicate ID")&gt;0,"Review collections",IF(COUNTIFS(Collections!$B$6:$B$105,A14,Collections!$E$6:$E$105,D14,Collections!$J$6:$J$105,"Counted")=0,"",SUMIFS(Collections!$D$6:$D$105,Collections!$B$6:$B$105,A14,Collections!$E$6:$E$105,D14,Collections!$J$6:$J$105,"Counted"))))</x:f>
      </x:c>
      <x:c r="O14" s="17"/>
      <x:c r="P14" s="17"/>
    </x:row>
    <x:row r="15">
      <x:c r="A15" s="22"/>
      <x:c r="B15" s="22"/>
      <x:c r="C15" s="22"/>
      <x:c r="D15" s="22"/>
      <x:c r="E15" s="24"/>
      <x:c r="F15" s="24"/>
      <x:c r="G15" s="24"/>
      <x:c r="H15" s="24"/>
      <x:c r="I15" s="24"/>
      <x:c r="J15" s="25" t="str">
        <x:f>IF(COUNT(H15:I15)&lt;2,"",I15-H15)</x:f>
      </x:c>
      <x:c r="K15" s="26" t="str">
        <x:f>IF(COUNT(H15:I15)&lt;2,"",IF(I15=0,"n.a.",J15/I15))</x:f>
      </x:c>
      <x:c r="L15" s="26" t="str">
        <x:f>IF(COUNT(E15:F15)&lt;2,"",IF(E15=0,"n.a.",(F15-E15)/E15))</x:f>
      </x:c>
      <x:c r="M15" s="26" t="str">
        <x:f>IF(COUNT(G15:H15)&lt;2,"",IF(G15=0,"n.a.",(H15-G15)/G15))</x:f>
      </x:c>
      <x:c r="N15" s="27" t="str">
        <x:f>IF(A15="","",IF(COUNTIFS(Collections!$B$6:$B$105,A15,Collections!$E$6:$E$105,D15,Collections!$J$6:$J$105,"Incomplete")+COUNTIFS(Collections!$B$6:$B$105,A15,Collections!$E$6:$E$105,D15,Collections!$J$6:$J$105,"Duplicate ID")&gt;0,"Review collections",IF(COUNTIFS(Collections!$B$6:$B$105,A15,Collections!$E$6:$E$105,D15,Collections!$J$6:$J$105,"Counted")=0,"",SUMIFS(Collections!$D$6:$D$105,Collections!$B$6:$B$105,A15,Collections!$E$6:$E$105,D15,Collections!$J$6:$J$105,"Counted"))))</x:f>
      </x:c>
      <x:c r="O15" s="17"/>
      <x:c r="P15" s="17"/>
    </x:row>
    <x:row r="16">
      <x:c r="A16" s="22"/>
      <x:c r="B16" s="22"/>
      <x:c r="C16" s="22"/>
      <x:c r="D16" s="22"/>
      <x:c r="E16" s="24"/>
      <x:c r="F16" s="24"/>
      <x:c r="G16" s="24"/>
      <x:c r="H16" s="24"/>
      <x:c r="I16" s="24"/>
      <x:c r="J16" s="25" t="str">
        <x:f>IF(COUNT(H16:I16)&lt;2,"",I16-H16)</x:f>
      </x:c>
      <x:c r="K16" s="26" t="str">
        <x:f>IF(COUNT(H16:I16)&lt;2,"",IF(I16=0,"n.a.",J16/I16))</x:f>
      </x:c>
      <x:c r="L16" s="26" t="str">
        <x:f>IF(COUNT(E16:F16)&lt;2,"",IF(E16=0,"n.a.",(F16-E16)/E16))</x:f>
      </x:c>
      <x:c r="M16" s="26" t="str">
        <x:f>IF(COUNT(G16:H16)&lt;2,"",IF(G16=0,"n.a.",(H16-G16)/G16))</x:f>
      </x:c>
      <x:c r="N16" s="27" t="str">
        <x:f>IF(A16="","",IF(COUNTIFS(Collections!$B$6:$B$105,A16,Collections!$E$6:$E$105,D16,Collections!$J$6:$J$105,"Incomplete")+COUNTIFS(Collections!$B$6:$B$105,A16,Collections!$E$6:$E$105,D16,Collections!$J$6:$J$105,"Duplicate ID")&gt;0,"Review collections",IF(COUNTIFS(Collections!$B$6:$B$105,A16,Collections!$E$6:$E$105,D16,Collections!$J$6:$J$105,"Counted")=0,"",SUMIFS(Collections!$D$6:$D$105,Collections!$B$6:$B$105,A16,Collections!$E$6:$E$105,D16,Collections!$J$6:$J$105,"Counted"))))</x:f>
      </x:c>
      <x:c r="O16" s="17"/>
      <x:c r="P16" s="17"/>
    </x:row>
    <x:row r="17">
      <x:c r="A17" s="22"/>
      <x:c r="B17" s="22"/>
      <x:c r="C17" s="22"/>
      <x:c r="D17" s="22"/>
      <x:c r="E17" s="24"/>
      <x:c r="F17" s="24"/>
      <x:c r="G17" s="24"/>
      <x:c r="H17" s="24"/>
      <x:c r="I17" s="24"/>
      <x:c r="J17" s="25" t="str">
        <x:f>IF(COUNT(H17:I17)&lt;2,"",I17-H17)</x:f>
      </x:c>
      <x:c r="K17" s="26" t="str">
        <x:f>IF(COUNT(H17:I17)&lt;2,"",IF(I17=0,"n.a.",J17/I17))</x:f>
      </x:c>
      <x:c r="L17" s="26" t="str">
        <x:f>IF(COUNT(E17:F17)&lt;2,"",IF(E17=0,"n.a.",(F17-E17)/E17))</x:f>
      </x:c>
      <x:c r="M17" s="26" t="str">
        <x:f>IF(COUNT(G17:H17)&lt;2,"",IF(G17=0,"n.a.",(H17-G17)/G17))</x:f>
      </x:c>
      <x:c r="N17" s="27" t="str">
        <x:f>IF(A17="","",IF(COUNTIFS(Collections!$B$6:$B$105,A17,Collections!$E$6:$E$105,D17,Collections!$J$6:$J$105,"Incomplete")+COUNTIFS(Collections!$B$6:$B$105,A17,Collections!$E$6:$E$105,D17,Collections!$J$6:$J$105,"Duplicate ID")&gt;0,"Review collections",IF(COUNTIFS(Collections!$B$6:$B$105,A17,Collections!$E$6:$E$105,D17,Collections!$J$6:$J$105,"Counted")=0,"",SUMIFS(Collections!$D$6:$D$105,Collections!$B$6:$B$105,A17,Collections!$E$6:$E$105,D17,Collections!$J$6:$J$105,"Counted"))))</x:f>
      </x:c>
      <x:c r="O17" s="17"/>
      <x:c r="P17" s="17"/>
    </x:row>
    <x:row r="18">
      <x:c r="A18" s="22"/>
      <x:c r="B18" s="22"/>
      <x:c r="C18" s="22"/>
      <x:c r="D18" s="22"/>
      <x:c r="E18" s="24"/>
      <x:c r="F18" s="24"/>
      <x:c r="G18" s="24"/>
      <x:c r="H18" s="24"/>
      <x:c r="I18" s="24"/>
      <x:c r="J18" s="25" t="str">
        <x:f>IF(COUNT(H18:I18)&lt;2,"",I18-H18)</x:f>
      </x:c>
      <x:c r="K18" s="26" t="str">
        <x:f>IF(COUNT(H18:I18)&lt;2,"",IF(I18=0,"n.a.",J18/I18))</x:f>
      </x:c>
      <x:c r="L18" s="26" t="str">
        <x:f>IF(COUNT(E18:F18)&lt;2,"",IF(E18=0,"n.a.",(F18-E18)/E18))</x:f>
      </x:c>
      <x:c r="M18" s="26" t="str">
        <x:f>IF(COUNT(G18:H18)&lt;2,"",IF(G18=0,"n.a.",(H18-G18)/G18))</x:f>
      </x:c>
      <x:c r="N18" s="27" t="str">
        <x:f>IF(A18="","",IF(COUNTIFS(Collections!$B$6:$B$105,A18,Collections!$E$6:$E$105,D18,Collections!$J$6:$J$105,"Incomplete")+COUNTIFS(Collections!$B$6:$B$105,A18,Collections!$E$6:$E$105,D18,Collections!$J$6:$J$105,"Duplicate ID")&gt;0,"Review collections",IF(COUNTIFS(Collections!$B$6:$B$105,A18,Collections!$E$6:$E$105,D18,Collections!$J$6:$J$105,"Counted")=0,"",SUMIFS(Collections!$D$6:$D$105,Collections!$B$6:$B$105,A18,Collections!$E$6:$E$105,D18,Collections!$J$6:$J$105,"Counted"))))</x:f>
      </x:c>
      <x:c r="O18" s="17"/>
      <x:c r="P18" s="17"/>
    </x:row>
    <x:row r="19">
      <x:c r="A19" s="22"/>
      <x:c r="B19" s="22"/>
      <x:c r="C19" s="22"/>
      <x:c r="D19" s="22"/>
      <x:c r="E19" s="24"/>
      <x:c r="F19" s="24"/>
      <x:c r="G19" s="24"/>
      <x:c r="H19" s="24"/>
      <x:c r="I19" s="24"/>
      <x:c r="J19" s="25" t="str">
        <x:f>IF(COUNT(H19:I19)&lt;2,"",I19-H19)</x:f>
      </x:c>
      <x:c r="K19" s="26" t="str">
        <x:f>IF(COUNT(H19:I19)&lt;2,"",IF(I19=0,"n.a.",J19/I19))</x:f>
      </x:c>
      <x:c r="L19" s="26" t="str">
        <x:f>IF(COUNT(E19:F19)&lt;2,"",IF(E19=0,"n.a.",(F19-E19)/E19))</x:f>
      </x:c>
      <x:c r="M19" s="26" t="str">
        <x:f>IF(COUNT(G19:H19)&lt;2,"",IF(G19=0,"n.a.",(H19-G19)/G19))</x:f>
      </x:c>
      <x:c r="N19" s="27" t="str">
        <x:f>IF(A19="","",IF(COUNTIFS(Collections!$B$6:$B$105,A19,Collections!$E$6:$E$105,D19,Collections!$J$6:$J$105,"Incomplete")+COUNTIFS(Collections!$B$6:$B$105,A19,Collections!$E$6:$E$105,D19,Collections!$J$6:$J$105,"Duplicate ID")&gt;0,"Review collections",IF(COUNTIFS(Collections!$B$6:$B$105,A19,Collections!$E$6:$E$105,D19,Collections!$J$6:$J$105,"Counted")=0,"",SUMIFS(Collections!$D$6:$D$105,Collections!$B$6:$B$105,A19,Collections!$E$6:$E$105,D19,Collections!$J$6:$J$105,"Counted"))))</x:f>
      </x:c>
      <x:c r="O19" s="17"/>
      <x:c r="P19" s="17"/>
    </x:row>
    <x:row r="20">
      <x:c r="A20" s="22"/>
      <x:c r="B20" s="22"/>
      <x:c r="C20" s="22"/>
      <x:c r="D20" s="22"/>
      <x:c r="E20" s="24"/>
      <x:c r="F20" s="24"/>
      <x:c r="G20" s="24"/>
      <x:c r="H20" s="24"/>
      <x:c r="I20" s="24"/>
      <x:c r="J20" s="25" t="str">
        <x:f>IF(COUNT(H20:I20)&lt;2,"",I20-H20)</x:f>
      </x:c>
      <x:c r="K20" s="26" t="str">
        <x:f>IF(COUNT(H20:I20)&lt;2,"",IF(I20=0,"n.a.",J20/I20))</x:f>
      </x:c>
      <x:c r="L20" s="26" t="str">
        <x:f>IF(COUNT(E20:F20)&lt;2,"",IF(E20=0,"n.a.",(F20-E20)/E20))</x:f>
      </x:c>
      <x:c r="M20" s="26" t="str">
        <x:f>IF(COUNT(G20:H20)&lt;2,"",IF(G20=0,"n.a.",(H20-G20)/G20))</x:f>
      </x:c>
      <x:c r="N20" s="27" t="str">
        <x:f>IF(A20="","",IF(COUNTIFS(Collections!$B$6:$B$105,A20,Collections!$E$6:$E$105,D20,Collections!$J$6:$J$105,"Incomplete")+COUNTIFS(Collections!$B$6:$B$105,A20,Collections!$E$6:$E$105,D20,Collections!$J$6:$J$105,"Duplicate ID")&gt;0,"Review collections",IF(COUNTIFS(Collections!$B$6:$B$105,A20,Collections!$E$6:$E$105,D20,Collections!$J$6:$J$105,"Counted")=0,"",SUMIFS(Collections!$D$6:$D$105,Collections!$B$6:$B$105,A20,Collections!$E$6:$E$105,D20,Collections!$J$6:$J$105,"Counted"))))</x:f>
      </x:c>
      <x:c r="O20" s="17"/>
      <x:c r="P20" s="17"/>
    </x:row>
    <x:row r="21">
      <x:c r="A21" s="22"/>
      <x:c r="B21" s="22"/>
      <x:c r="C21" s="22"/>
      <x:c r="D21" s="22"/>
      <x:c r="E21" s="24"/>
      <x:c r="F21" s="24"/>
      <x:c r="G21" s="24"/>
      <x:c r="H21" s="24"/>
      <x:c r="I21" s="24"/>
      <x:c r="J21" s="25" t="str">
        <x:f>IF(COUNT(H21:I21)&lt;2,"",I21-H21)</x:f>
      </x:c>
      <x:c r="K21" s="26" t="str">
        <x:f>IF(COUNT(H21:I21)&lt;2,"",IF(I21=0,"n.a.",J21/I21))</x:f>
      </x:c>
      <x:c r="L21" s="26" t="str">
        <x:f>IF(COUNT(E21:F21)&lt;2,"",IF(E21=0,"n.a.",(F21-E21)/E21))</x:f>
      </x:c>
      <x:c r="M21" s="26" t="str">
        <x:f>IF(COUNT(G21:H21)&lt;2,"",IF(G21=0,"n.a.",(H21-G21)/G21))</x:f>
      </x:c>
      <x:c r="N21" s="27" t="str">
        <x:f>IF(A21="","",IF(COUNTIFS(Collections!$B$6:$B$105,A21,Collections!$E$6:$E$105,D21,Collections!$J$6:$J$105,"Incomplete")+COUNTIFS(Collections!$B$6:$B$105,A21,Collections!$E$6:$E$105,D21,Collections!$J$6:$J$105,"Duplicate ID")&gt;0,"Review collections",IF(COUNTIFS(Collections!$B$6:$B$105,A21,Collections!$E$6:$E$105,D21,Collections!$J$6:$J$105,"Counted")=0,"",SUMIFS(Collections!$D$6:$D$105,Collections!$B$6:$B$105,A21,Collections!$E$6:$E$105,D21,Collections!$J$6:$J$105,"Counted"))))</x:f>
      </x:c>
      <x:c r="O21" s="17"/>
      <x:c r="P21" s="17"/>
    </x:row>
    <x:row r="22">
      <x:c r="A22" s="22"/>
      <x:c r="B22" s="22"/>
      <x:c r="C22" s="22"/>
      <x:c r="D22" s="22"/>
      <x:c r="E22" s="24"/>
      <x:c r="F22" s="24"/>
      <x:c r="G22" s="24"/>
      <x:c r="H22" s="24"/>
      <x:c r="I22" s="24"/>
      <x:c r="J22" s="25" t="str">
        <x:f>IF(COUNT(H22:I22)&lt;2,"",I22-H22)</x:f>
      </x:c>
      <x:c r="K22" s="26" t="str">
        <x:f>IF(COUNT(H22:I22)&lt;2,"",IF(I22=0,"n.a.",J22/I22))</x:f>
      </x:c>
      <x:c r="L22" s="26" t="str">
        <x:f>IF(COUNT(E22:F22)&lt;2,"",IF(E22=0,"n.a.",(F22-E22)/E22))</x:f>
      </x:c>
      <x:c r="M22" s="26" t="str">
        <x:f>IF(COUNT(G22:H22)&lt;2,"",IF(G22=0,"n.a.",(H22-G22)/G22))</x:f>
      </x:c>
      <x:c r="N22" s="27" t="str">
        <x:f>IF(A22="","",IF(COUNTIFS(Collections!$B$6:$B$105,A22,Collections!$E$6:$E$105,D22,Collections!$J$6:$J$105,"Incomplete")+COUNTIFS(Collections!$B$6:$B$105,A22,Collections!$E$6:$E$105,D22,Collections!$J$6:$J$105,"Duplicate ID")&gt;0,"Review collections",IF(COUNTIFS(Collections!$B$6:$B$105,A22,Collections!$E$6:$E$105,D22,Collections!$J$6:$J$105,"Counted")=0,"",SUMIFS(Collections!$D$6:$D$105,Collections!$B$6:$B$105,A22,Collections!$E$6:$E$105,D22,Collections!$J$6:$J$105,"Counted"))))</x:f>
      </x:c>
      <x:c r="O22" s="17"/>
      <x:c r="P22" s="17"/>
    </x:row>
    <x:row r="23">
      <x:c r="A23" s="22"/>
      <x:c r="B23" s="22"/>
      <x:c r="C23" s="22"/>
      <x:c r="D23" s="22"/>
      <x:c r="E23" s="24"/>
      <x:c r="F23" s="24"/>
      <x:c r="G23" s="24"/>
      <x:c r="H23" s="24"/>
      <x:c r="I23" s="24"/>
      <x:c r="J23" s="25" t="str">
        <x:f>IF(COUNT(H23:I23)&lt;2,"",I23-H23)</x:f>
      </x:c>
      <x:c r="K23" s="26" t="str">
        <x:f>IF(COUNT(H23:I23)&lt;2,"",IF(I23=0,"n.a.",J23/I23))</x:f>
      </x:c>
      <x:c r="L23" s="26" t="str">
        <x:f>IF(COUNT(E23:F23)&lt;2,"",IF(E23=0,"n.a.",(F23-E23)/E23))</x:f>
      </x:c>
      <x:c r="M23" s="26" t="str">
        <x:f>IF(COUNT(G23:H23)&lt;2,"",IF(G23=0,"n.a.",(H23-G23)/G23))</x:f>
      </x:c>
      <x:c r="N23" s="27" t="str">
        <x:f>IF(A23="","",IF(COUNTIFS(Collections!$B$6:$B$105,A23,Collections!$E$6:$E$105,D23,Collections!$J$6:$J$105,"Incomplete")+COUNTIFS(Collections!$B$6:$B$105,A23,Collections!$E$6:$E$105,D23,Collections!$J$6:$J$105,"Duplicate ID")&gt;0,"Review collections",IF(COUNTIFS(Collections!$B$6:$B$105,A23,Collections!$E$6:$E$105,D23,Collections!$J$6:$J$105,"Counted")=0,"",SUMIFS(Collections!$D$6:$D$105,Collections!$B$6:$B$105,A23,Collections!$E$6:$E$105,D23,Collections!$J$6:$J$105,"Counted"))))</x:f>
      </x:c>
      <x:c r="O23" s="17"/>
      <x:c r="P23" s="17"/>
    </x:row>
    <x:row r="24">
      <x:c r="A24" s="22"/>
      <x:c r="B24" s="22"/>
      <x:c r="C24" s="22"/>
      <x:c r="D24" s="22"/>
      <x:c r="E24" s="24"/>
      <x:c r="F24" s="24"/>
      <x:c r="G24" s="24"/>
      <x:c r="H24" s="24"/>
      <x:c r="I24" s="24"/>
      <x:c r="J24" s="25" t="str">
        <x:f>IF(COUNT(H24:I24)&lt;2,"",I24-H24)</x:f>
      </x:c>
      <x:c r="K24" s="26" t="str">
        <x:f>IF(COUNT(H24:I24)&lt;2,"",IF(I24=0,"n.a.",J24/I24))</x:f>
      </x:c>
      <x:c r="L24" s="26" t="str">
        <x:f>IF(COUNT(E24:F24)&lt;2,"",IF(E24=0,"n.a.",(F24-E24)/E24))</x:f>
      </x:c>
      <x:c r="M24" s="26" t="str">
        <x:f>IF(COUNT(G24:H24)&lt;2,"",IF(G24=0,"n.a.",(H24-G24)/G24))</x:f>
      </x:c>
      <x:c r="N24" s="27" t="str">
        <x:f>IF(A24="","",IF(COUNTIFS(Collections!$B$6:$B$105,A24,Collections!$E$6:$E$105,D24,Collections!$J$6:$J$105,"Incomplete")+COUNTIFS(Collections!$B$6:$B$105,A24,Collections!$E$6:$E$105,D24,Collections!$J$6:$J$105,"Duplicate ID")&gt;0,"Review collections",IF(COUNTIFS(Collections!$B$6:$B$105,A24,Collections!$E$6:$E$105,D24,Collections!$J$6:$J$105,"Counted")=0,"",SUMIFS(Collections!$D$6:$D$105,Collections!$B$6:$B$105,A24,Collections!$E$6:$E$105,D24,Collections!$J$6:$J$105,"Counted"))))</x:f>
      </x:c>
      <x:c r="O24" s="17"/>
      <x:c r="P24" s="17"/>
    </x:row>
    <x:row r="25">
      <x:c r="A25" s="22"/>
      <x:c r="B25" s="22"/>
      <x:c r="C25" s="22"/>
      <x:c r="D25" s="22"/>
      <x:c r="E25" s="24"/>
      <x:c r="F25" s="24"/>
      <x:c r="G25" s="24"/>
      <x:c r="H25" s="24"/>
      <x:c r="I25" s="24"/>
      <x:c r="J25" s="25" t="str">
        <x:f>IF(COUNT(H25:I25)&lt;2,"",I25-H25)</x:f>
      </x:c>
      <x:c r="K25" s="26" t="str">
        <x:f>IF(COUNT(H25:I25)&lt;2,"",IF(I25=0,"n.a.",J25/I25))</x:f>
      </x:c>
      <x:c r="L25" s="26" t="str">
        <x:f>IF(COUNT(E25:F25)&lt;2,"",IF(E25=0,"n.a.",(F25-E25)/E25))</x:f>
      </x:c>
      <x:c r="M25" s="26" t="str">
        <x:f>IF(COUNT(G25:H25)&lt;2,"",IF(G25=0,"n.a.",(H25-G25)/G25))</x:f>
      </x:c>
      <x:c r="N25" s="27" t="str">
        <x:f>IF(A25="","",IF(COUNTIFS(Collections!$B$6:$B$105,A25,Collections!$E$6:$E$105,D25,Collections!$J$6:$J$105,"Incomplete")+COUNTIFS(Collections!$B$6:$B$105,A25,Collections!$E$6:$E$105,D25,Collections!$J$6:$J$105,"Duplicate ID")&gt;0,"Review collections",IF(COUNTIFS(Collections!$B$6:$B$105,A25,Collections!$E$6:$E$105,D25,Collections!$J$6:$J$105,"Counted")=0,"",SUMIFS(Collections!$D$6:$D$105,Collections!$B$6:$B$105,A25,Collections!$E$6:$E$105,D25,Collections!$J$6:$J$105,"Counted"))))</x:f>
      </x:c>
      <x:c r="O25" s="17"/>
      <x:c r="P25" s="17"/>
    </x:row>
    <x:row r="26">
      <x:c r="A26" s="22"/>
      <x:c r="B26" s="22"/>
      <x:c r="C26" s="22"/>
      <x:c r="D26" s="22"/>
      <x:c r="E26" s="24"/>
      <x:c r="F26" s="24"/>
      <x:c r="G26" s="24"/>
      <x:c r="H26" s="24"/>
      <x:c r="I26" s="24"/>
      <x:c r="J26" s="25" t="str">
        <x:f>IF(COUNT(H26:I26)&lt;2,"",I26-H26)</x:f>
      </x:c>
      <x:c r="K26" s="26" t="str">
        <x:f>IF(COUNT(H26:I26)&lt;2,"",IF(I26=0,"n.a.",J26/I26))</x:f>
      </x:c>
      <x:c r="L26" s="26" t="str">
        <x:f>IF(COUNT(E26:F26)&lt;2,"",IF(E26=0,"n.a.",(F26-E26)/E26))</x:f>
      </x:c>
      <x:c r="M26" s="26" t="str">
        <x:f>IF(COUNT(G26:H26)&lt;2,"",IF(G26=0,"n.a.",(H26-G26)/G26))</x:f>
      </x:c>
      <x:c r="N26" s="27" t="str">
        <x:f>IF(A26="","",IF(COUNTIFS(Collections!$B$6:$B$105,A26,Collections!$E$6:$E$105,D26,Collections!$J$6:$J$105,"Incomplete")+COUNTIFS(Collections!$B$6:$B$105,A26,Collections!$E$6:$E$105,D26,Collections!$J$6:$J$105,"Duplicate ID")&gt;0,"Review collections",IF(COUNTIFS(Collections!$B$6:$B$105,A26,Collections!$E$6:$E$105,D26,Collections!$J$6:$J$105,"Counted")=0,"",SUMIFS(Collections!$D$6:$D$105,Collections!$B$6:$B$105,A26,Collections!$E$6:$E$105,D26,Collections!$J$6:$J$105,"Counted"))))</x:f>
      </x:c>
      <x:c r="O26" s="17"/>
      <x:c r="P26" s="17"/>
    </x:row>
    <x:row r="27">
      <x:c r="A27" s="22"/>
      <x:c r="B27" s="22"/>
      <x:c r="C27" s="22"/>
      <x:c r="D27" s="22"/>
      <x:c r="E27" s="24"/>
      <x:c r="F27" s="24"/>
      <x:c r="G27" s="24"/>
      <x:c r="H27" s="24"/>
      <x:c r="I27" s="24"/>
      <x:c r="J27" s="25" t="str">
        <x:f>IF(COUNT(H27:I27)&lt;2,"",I27-H27)</x:f>
      </x:c>
      <x:c r="K27" s="26" t="str">
        <x:f>IF(COUNT(H27:I27)&lt;2,"",IF(I27=0,"n.a.",J27/I27))</x:f>
      </x:c>
      <x:c r="L27" s="26" t="str">
        <x:f>IF(COUNT(E27:F27)&lt;2,"",IF(E27=0,"n.a.",(F27-E27)/E27))</x:f>
      </x:c>
      <x:c r="M27" s="26" t="str">
        <x:f>IF(COUNT(G27:H27)&lt;2,"",IF(G27=0,"n.a.",(H27-G27)/G27))</x:f>
      </x:c>
      <x:c r="N27" s="27" t="str">
        <x:f>IF(A27="","",IF(COUNTIFS(Collections!$B$6:$B$105,A27,Collections!$E$6:$E$105,D27,Collections!$J$6:$J$105,"Incomplete")+COUNTIFS(Collections!$B$6:$B$105,A27,Collections!$E$6:$E$105,D27,Collections!$J$6:$J$105,"Duplicate ID")&gt;0,"Review collections",IF(COUNTIFS(Collections!$B$6:$B$105,A27,Collections!$E$6:$E$105,D27,Collections!$J$6:$J$105,"Counted")=0,"",SUMIFS(Collections!$D$6:$D$105,Collections!$B$6:$B$105,A27,Collections!$E$6:$E$105,D27,Collections!$J$6:$J$105,"Counted"))))</x:f>
      </x:c>
      <x:c r="O27" s="17"/>
      <x:c r="P27" s="17"/>
    </x:row>
    <x:row r="28">
      <x:c r="A28" s="22"/>
      <x:c r="B28" s="22"/>
      <x:c r="C28" s="22"/>
      <x:c r="D28" s="22"/>
      <x:c r="E28" s="24"/>
      <x:c r="F28" s="24"/>
      <x:c r="G28" s="24"/>
      <x:c r="H28" s="24"/>
      <x:c r="I28" s="24"/>
      <x:c r="J28" s="25" t="str">
        <x:f>IF(COUNT(H28:I28)&lt;2,"",I28-H28)</x:f>
      </x:c>
      <x:c r="K28" s="26" t="str">
        <x:f>IF(COUNT(H28:I28)&lt;2,"",IF(I28=0,"n.a.",J28/I28))</x:f>
      </x:c>
      <x:c r="L28" s="26" t="str">
        <x:f>IF(COUNT(E28:F28)&lt;2,"",IF(E28=0,"n.a.",(F28-E28)/E28))</x:f>
      </x:c>
      <x:c r="M28" s="26" t="str">
        <x:f>IF(COUNT(G28:H28)&lt;2,"",IF(G28=0,"n.a.",(H28-G28)/G28))</x:f>
      </x:c>
      <x:c r="N28" s="27" t="str">
        <x:f>IF(A28="","",IF(COUNTIFS(Collections!$B$6:$B$105,A28,Collections!$E$6:$E$105,D28,Collections!$J$6:$J$105,"Incomplete")+COUNTIFS(Collections!$B$6:$B$105,A28,Collections!$E$6:$E$105,D28,Collections!$J$6:$J$105,"Duplicate ID")&gt;0,"Review collections",IF(COUNTIFS(Collections!$B$6:$B$105,A28,Collections!$E$6:$E$105,D28,Collections!$J$6:$J$105,"Counted")=0,"",SUMIFS(Collections!$D$6:$D$105,Collections!$B$6:$B$105,A28,Collections!$E$6:$E$105,D28,Collections!$J$6:$J$105,"Counted"))))</x:f>
      </x:c>
      <x:c r="O28" s="17"/>
      <x:c r="P28" s="17"/>
    </x:row>
    <x:row r="29">
      <x:c r="A29" s="22"/>
      <x:c r="B29" s="22"/>
      <x:c r="C29" s="22"/>
      <x:c r="D29" s="22"/>
      <x:c r="E29" s="24"/>
      <x:c r="F29" s="24"/>
      <x:c r="G29" s="24"/>
      <x:c r="H29" s="24"/>
      <x:c r="I29" s="24"/>
      <x:c r="J29" s="25" t="str">
        <x:f>IF(COUNT(H29:I29)&lt;2,"",I29-H29)</x:f>
      </x:c>
      <x:c r="K29" s="26" t="str">
        <x:f>IF(COUNT(H29:I29)&lt;2,"",IF(I29=0,"n.a.",J29/I29))</x:f>
      </x:c>
      <x:c r="L29" s="26" t="str">
        <x:f>IF(COUNT(E29:F29)&lt;2,"",IF(E29=0,"n.a.",(F29-E29)/E29))</x:f>
      </x:c>
      <x:c r="M29" s="26" t="str">
        <x:f>IF(COUNT(G29:H29)&lt;2,"",IF(G29=0,"n.a.",(H29-G29)/G29))</x:f>
      </x:c>
      <x:c r="N29" s="27" t="str">
        <x:f>IF(A29="","",IF(COUNTIFS(Collections!$B$6:$B$105,A29,Collections!$E$6:$E$105,D29,Collections!$J$6:$J$105,"Incomplete")+COUNTIFS(Collections!$B$6:$B$105,A29,Collections!$E$6:$E$105,D29,Collections!$J$6:$J$105,"Duplicate ID")&gt;0,"Review collections",IF(COUNTIFS(Collections!$B$6:$B$105,A29,Collections!$E$6:$E$105,D29,Collections!$J$6:$J$105,"Counted")=0,"",SUMIFS(Collections!$D$6:$D$105,Collections!$B$6:$B$105,A29,Collections!$E$6:$E$105,D29,Collections!$J$6:$J$105,"Counted"))))</x:f>
      </x:c>
      <x:c r="O29" s="17"/>
      <x:c r="P29" s="17"/>
    </x:row>
    <x:row r="30">
      <x:c r="A30" s="22"/>
      <x:c r="B30" s="22"/>
      <x:c r="C30" s="22"/>
      <x:c r="D30" s="22"/>
      <x:c r="E30" s="24"/>
      <x:c r="F30" s="24"/>
      <x:c r="G30" s="24"/>
      <x:c r="H30" s="24"/>
      <x:c r="I30" s="24"/>
      <x:c r="J30" s="25" t="str">
        <x:f>IF(COUNT(H30:I30)&lt;2,"",I30-H30)</x:f>
      </x:c>
      <x:c r="K30" s="26" t="str">
        <x:f>IF(COUNT(H30:I30)&lt;2,"",IF(I30=0,"n.a.",J30/I30))</x:f>
      </x:c>
      <x:c r="L30" s="26" t="str">
        <x:f>IF(COUNT(E30:F30)&lt;2,"",IF(E30=0,"n.a.",(F30-E30)/E30))</x:f>
      </x:c>
      <x:c r="M30" s="26" t="str">
        <x:f>IF(COUNT(G30:H30)&lt;2,"",IF(G30=0,"n.a.",(H30-G30)/G30))</x:f>
      </x:c>
      <x:c r="N30" s="27" t="str">
        <x:f>IF(A30="","",IF(COUNTIFS(Collections!$B$6:$B$105,A30,Collections!$E$6:$E$105,D30,Collections!$J$6:$J$105,"Incomplete")+COUNTIFS(Collections!$B$6:$B$105,A30,Collections!$E$6:$E$105,D30,Collections!$J$6:$J$105,"Duplicate ID")&gt;0,"Review collections",IF(COUNTIFS(Collections!$B$6:$B$105,A30,Collections!$E$6:$E$105,D30,Collections!$J$6:$J$105,"Counted")=0,"",SUMIFS(Collections!$D$6:$D$105,Collections!$B$6:$B$105,A30,Collections!$E$6:$E$105,D30,Collections!$J$6:$J$105,"Counted"))))</x:f>
      </x:c>
      <x:c r="O30" s="17"/>
      <x:c r="P30" s="17"/>
    </x:row>
    <x:row r="31">
      <x:c r="A31" s="22"/>
      <x:c r="B31" s="22"/>
      <x:c r="C31" s="22"/>
      <x:c r="D31" s="22"/>
      <x:c r="E31" s="24"/>
      <x:c r="F31" s="24"/>
      <x:c r="G31" s="24"/>
      <x:c r="H31" s="24"/>
      <x:c r="I31" s="24"/>
      <x:c r="J31" s="25" t="str">
        <x:f>IF(COUNT(H31:I31)&lt;2,"",I31-H31)</x:f>
      </x:c>
      <x:c r="K31" s="26" t="str">
        <x:f>IF(COUNT(H31:I31)&lt;2,"",IF(I31=0,"n.a.",J31/I31))</x:f>
      </x:c>
      <x:c r="L31" s="26" t="str">
        <x:f>IF(COUNT(E31:F31)&lt;2,"",IF(E31=0,"n.a.",(F31-E31)/E31))</x:f>
      </x:c>
      <x:c r="M31" s="26" t="str">
        <x:f>IF(COUNT(G31:H31)&lt;2,"",IF(G31=0,"n.a.",(H31-G31)/G31))</x:f>
      </x:c>
      <x:c r="N31" s="27" t="str">
        <x:f>IF(A31="","",IF(COUNTIFS(Collections!$B$6:$B$105,A31,Collections!$E$6:$E$105,D31,Collections!$J$6:$J$105,"Incomplete")+COUNTIFS(Collections!$B$6:$B$105,A31,Collections!$E$6:$E$105,D31,Collections!$J$6:$J$105,"Duplicate ID")&gt;0,"Review collections",IF(COUNTIFS(Collections!$B$6:$B$105,A31,Collections!$E$6:$E$105,D31,Collections!$J$6:$J$105,"Counted")=0,"",SUMIFS(Collections!$D$6:$D$105,Collections!$B$6:$B$105,A31,Collections!$E$6:$E$105,D31,Collections!$J$6:$J$105,"Counted"))))</x:f>
      </x:c>
      <x:c r="O31" s="17"/>
      <x:c r="P31" s="17"/>
    </x:row>
    <x:row r="32">
      <x:c r="A32" s="22"/>
      <x:c r="B32" s="22"/>
      <x:c r="C32" s="22"/>
      <x:c r="D32" s="22"/>
      <x:c r="E32" s="24"/>
      <x:c r="F32" s="24"/>
      <x:c r="G32" s="24"/>
      <x:c r="H32" s="24"/>
      <x:c r="I32" s="24"/>
      <x:c r="J32" s="25" t="str">
        <x:f>IF(COUNT(H32:I32)&lt;2,"",I32-H32)</x:f>
      </x:c>
      <x:c r="K32" s="26" t="str">
        <x:f>IF(COUNT(H32:I32)&lt;2,"",IF(I32=0,"n.a.",J32/I32))</x:f>
      </x:c>
      <x:c r="L32" s="26" t="str">
        <x:f>IF(COUNT(E32:F32)&lt;2,"",IF(E32=0,"n.a.",(F32-E32)/E32))</x:f>
      </x:c>
      <x:c r="M32" s="26" t="str">
        <x:f>IF(COUNT(G32:H32)&lt;2,"",IF(G32=0,"n.a.",(H32-G32)/G32))</x:f>
      </x:c>
      <x:c r="N32" s="27" t="str">
        <x:f>IF(A32="","",IF(COUNTIFS(Collections!$B$6:$B$105,A32,Collections!$E$6:$E$105,D32,Collections!$J$6:$J$105,"Incomplete")+COUNTIFS(Collections!$B$6:$B$105,A32,Collections!$E$6:$E$105,D32,Collections!$J$6:$J$105,"Duplicate ID")&gt;0,"Review collections",IF(COUNTIFS(Collections!$B$6:$B$105,A32,Collections!$E$6:$E$105,D32,Collections!$J$6:$J$105,"Counted")=0,"",SUMIFS(Collections!$D$6:$D$105,Collections!$B$6:$B$105,A32,Collections!$E$6:$E$105,D32,Collections!$J$6:$J$105,"Counted"))))</x:f>
      </x:c>
      <x:c r="O32" s="17"/>
      <x:c r="P32" s="17"/>
    </x:row>
    <x:row r="33">
      <x:c r="A33" s="22"/>
      <x:c r="B33" s="22"/>
      <x:c r="C33" s="22"/>
      <x:c r="D33" s="22"/>
      <x:c r="E33" s="24"/>
      <x:c r="F33" s="24"/>
      <x:c r="G33" s="24"/>
      <x:c r="H33" s="24"/>
      <x:c r="I33" s="24"/>
      <x:c r="J33" s="25" t="str">
        <x:f>IF(COUNT(H33:I33)&lt;2,"",I33-H33)</x:f>
      </x:c>
      <x:c r="K33" s="26" t="str">
        <x:f>IF(COUNT(H33:I33)&lt;2,"",IF(I33=0,"n.a.",J33/I33))</x:f>
      </x:c>
      <x:c r="L33" s="26" t="str">
        <x:f>IF(COUNT(E33:F33)&lt;2,"",IF(E33=0,"n.a.",(F33-E33)/E33))</x:f>
      </x:c>
      <x:c r="M33" s="26" t="str">
        <x:f>IF(COUNT(G33:H33)&lt;2,"",IF(G33=0,"n.a.",(H33-G33)/G33))</x:f>
      </x:c>
      <x:c r="N33" s="27" t="str">
        <x:f>IF(A33="","",IF(COUNTIFS(Collections!$B$6:$B$105,A33,Collections!$E$6:$E$105,D33,Collections!$J$6:$J$105,"Incomplete")+COUNTIFS(Collections!$B$6:$B$105,A33,Collections!$E$6:$E$105,D33,Collections!$J$6:$J$105,"Duplicate ID")&gt;0,"Review collections",IF(COUNTIFS(Collections!$B$6:$B$105,A33,Collections!$E$6:$E$105,D33,Collections!$J$6:$J$105,"Counted")=0,"",SUMIFS(Collections!$D$6:$D$105,Collections!$B$6:$B$105,A33,Collections!$E$6:$E$105,D33,Collections!$J$6:$J$105,"Counted"))))</x:f>
      </x:c>
      <x:c r="O33" s="17"/>
      <x:c r="P33" s="17"/>
    </x:row>
    <x:row r="34">
      <x:c r="A34" s="22"/>
      <x:c r="B34" s="22"/>
      <x:c r="C34" s="22"/>
      <x:c r="D34" s="22"/>
      <x:c r="E34" s="24"/>
      <x:c r="F34" s="24"/>
      <x:c r="G34" s="24"/>
      <x:c r="H34" s="24"/>
      <x:c r="I34" s="24"/>
      <x:c r="J34" s="25" t="str">
        <x:f>IF(COUNT(H34:I34)&lt;2,"",I34-H34)</x:f>
      </x:c>
      <x:c r="K34" s="26" t="str">
        <x:f>IF(COUNT(H34:I34)&lt;2,"",IF(I34=0,"n.a.",J34/I34))</x:f>
      </x:c>
      <x:c r="L34" s="26" t="str">
        <x:f>IF(COUNT(E34:F34)&lt;2,"",IF(E34=0,"n.a.",(F34-E34)/E34))</x:f>
      </x:c>
      <x:c r="M34" s="26" t="str">
        <x:f>IF(COUNT(G34:H34)&lt;2,"",IF(G34=0,"n.a.",(H34-G34)/G34))</x:f>
      </x:c>
      <x:c r="N34" s="27" t="str">
        <x:f>IF(A34="","",IF(COUNTIFS(Collections!$B$6:$B$105,A34,Collections!$E$6:$E$105,D34,Collections!$J$6:$J$105,"Incomplete")+COUNTIFS(Collections!$B$6:$B$105,A34,Collections!$E$6:$E$105,D34,Collections!$J$6:$J$105,"Duplicate ID")&gt;0,"Review collections",IF(COUNTIFS(Collections!$B$6:$B$105,A34,Collections!$E$6:$E$105,D34,Collections!$J$6:$J$105,"Counted")=0,"",SUMIFS(Collections!$D$6:$D$105,Collections!$B$6:$B$105,A34,Collections!$E$6:$E$105,D34,Collections!$J$6:$J$105,"Counted"))))</x:f>
      </x:c>
      <x:c r="O34" s="17"/>
      <x:c r="P34" s="17"/>
    </x:row>
    <x:row r="35">
      <x:c r="A35" s="22"/>
      <x:c r="B35" s="22"/>
      <x:c r="C35" s="22"/>
      <x:c r="D35" s="22"/>
      <x:c r="E35" s="24"/>
      <x:c r="F35" s="24"/>
      <x:c r="G35" s="24"/>
      <x:c r="H35" s="24"/>
      <x:c r="I35" s="24"/>
      <x:c r="J35" s="25" t="str">
        <x:f>IF(COUNT(H35:I35)&lt;2,"",I35-H35)</x:f>
      </x:c>
      <x:c r="K35" s="26" t="str">
        <x:f>IF(COUNT(H35:I35)&lt;2,"",IF(I35=0,"n.a.",J35/I35))</x:f>
      </x:c>
      <x:c r="L35" s="26" t="str">
        <x:f>IF(COUNT(E35:F35)&lt;2,"",IF(E35=0,"n.a.",(F35-E35)/E35))</x:f>
      </x:c>
      <x:c r="M35" s="26" t="str">
        <x:f>IF(COUNT(G35:H35)&lt;2,"",IF(G35=0,"n.a.",(H35-G35)/G35))</x:f>
      </x:c>
      <x:c r="N35" s="27" t="str">
        <x:f>IF(A35="","",IF(COUNTIFS(Collections!$B$6:$B$105,A35,Collections!$E$6:$E$105,D35,Collections!$J$6:$J$105,"Incomplete")+COUNTIFS(Collections!$B$6:$B$105,A35,Collections!$E$6:$E$105,D35,Collections!$J$6:$J$105,"Duplicate ID")&gt;0,"Review collections",IF(COUNTIFS(Collections!$B$6:$B$105,A35,Collections!$E$6:$E$105,D35,Collections!$J$6:$J$105,"Counted")=0,"",SUMIFS(Collections!$D$6:$D$105,Collections!$B$6:$B$105,A35,Collections!$E$6:$E$105,D35,Collections!$J$6:$J$105,"Counted"))))</x:f>
      </x:c>
      <x:c r="O35" s="17"/>
      <x:c r="P35" s="17"/>
    </x:row>
    <x:row r="36">
      <x:c r="A36" s="22"/>
      <x:c r="B36" s="22"/>
      <x:c r="C36" s="22"/>
      <x:c r="D36" s="22"/>
      <x:c r="E36" s="24"/>
      <x:c r="F36" s="24"/>
      <x:c r="G36" s="24"/>
      <x:c r="H36" s="24"/>
      <x:c r="I36" s="24"/>
      <x:c r="J36" s="25" t="str">
        <x:f>IF(COUNT(H36:I36)&lt;2,"",I36-H36)</x:f>
      </x:c>
      <x:c r="K36" s="26" t="str">
        <x:f>IF(COUNT(H36:I36)&lt;2,"",IF(I36=0,"n.a.",J36/I36))</x:f>
      </x:c>
      <x:c r="L36" s="26" t="str">
        <x:f>IF(COUNT(E36:F36)&lt;2,"",IF(E36=0,"n.a.",(F36-E36)/E36))</x:f>
      </x:c>
      <x:c r="M36" s="26" t="str">
        <x:f>IF(COUNT(G36:H36)&lt;2,"",IF(G36=0,"n.a.",(H36-G36)/G36))</x:f>
      </x:c>
      <x:c r="N36" s="27" t="str">
        <x:f>IF(A36="","",IF(COUNTIFS(Collections!$B$6:$B$105,A36,Collections!$E$6:$E$105,D36,Collections!$J$6:$J$105,"Incomplete")+COUNTIFS(Collections!$B$6:$B$105,A36,Collections!$E$6:$E$105,D36,Collections!$J$6:$J$105,"Duplicate ID")&gt;0,"Review collections",IF(COUNTIFS(Collections!$B$6:$B$105,A36,Collections!$E$6:$E$105,D36,Collections!$J$6:$J$105,"Counted")=0,"",SUMIFS(Collections!$D$6:$D$105,Collections!$B$6:$B$105,A36,Collections!$E$6:$E$105,D36,Collections!$J$6:$J$105,"Counted"))))</x:f>
      </x:c>
      <x:c r="O36" s="17"/>
      <x:c r="P36" s="17"/>
    </x:row>
    <x:row r="37">
      <x:c r="A37" s="22"/>
      <x:c r="B37" s="22"/>
      <x:c r="C37" s="22"/>
      <x:c r="D37" s="22"/>
      <x:c r="E37" s="24"/>
      <x:c r="F37" s="24"/>
      <x:c r="G37" s="24"/>
      <x:c r="H37" s="24"/>
      <x:c r="I37" s="24"/>
      <x:c r="J37" s="25" t="str">
        <x:f>IF(COUNT(H37:I37)&lt;2,"",I37-H37)</x:f>
      </x:c>
      <x:c r="K37" s="26" t="str">
        <x:f>IF(COUNT(H37:I37)&lt;2,"",IF(I37=0,"n.a.",J37/I37))</x:f>
      </x:c>
      <x:c r="L37" s="26" t="str">
        <x:f>IF(COUNT(E37:F37)&lt;2,"",IF(E37=0,"n.a.",(F37-E37)/E37))</x:f>
      </x:c>
      <x:c r="M37" s="26" t="str">
        <x:f>IF(COUNT(G37:H37)&lt;2,"",IF(G37=0,"n.a.",(H37-G37)/G37))</x:f>
      </x:c>
      <x:c r="N37" s="27" t="str">
        <x:f>IF(A37="","",IF(COUNTIFS(Collections!$B$6:$B$105,A37,Collections!$E$6:$E$105,D37,Collections!$J$6:$J$105,"Incomplete")+COUNTIFS(Collections!$B$6:$B$105,A37,Collections!$E$6:$E$105,D37,Collections!$J$6:$J$105,"Duplicate ID")&gt;0,"Review collections",IF(COUNTIFS(Collections!$B$6:$B$105,A37,Collections!$E$6:$E$105,D37,Collections!$J$6:$J$105,"Counted")=0,"",SUMIFS(Collections!$D$6:$D$105,Collections!$B$6:$B$105,A37,Collections!$E$6:$E$105,D37,Collections!$J$6:$J$105,"Counted"))))</x:f>
      </x:c>
      <x:c r="O37" s="17"/>
      <x:c r="P37" s="17"/>
    </x:row>
    <x:row r="38">
      <x:c r="A38" s="22"/>
      <x:c r="B38" s="22"/>
      <x:c r="C38" s="22"/>
      <x:c r="D38" s="22"/>
      <x:c r="E38" s="24"/>
      <x:c r="F38" s="24"/>
      <x:c r="G38" s="24"/>
      <x:c r="H38" s="24"/>
      <x:c r="I38" s="24"/>
      <x:c r="J38" s="25" t="str">
        <x:f>IF(COUNT(H38:I38)&lt;2,"",I38-H38)</x:f>
      </x:c>
      <x:c r="K38" s="26" t="str">
        <x:f>IF(COUNT(H38:I38)&lt;2,"",IF(I38=0,"n.a.",J38/I38))</x:f>
      </x:c>
      <x:c r="L38" s="26" t="str">
        <x:f>IF(COUNT(E38:F38)&lt;2,"",IF(E38=0,"n.a.",(F38-E38)/E38))</x:f>
      </x:c>
      <x:c r="M38" s="26" t="str">
        <x:f>IF(COUNT(G38:H38)&lt;2,"",IF(G38=0,"n.a.",(H38-G38)/G38))</x:f>
      </x:c>
      <x:c r="N38" s="27" t="str">
        <x:f>IF(A38="","",IF(COUNTIFS(Collections!$B$6:$B$105,A38,Collections!$E$6:$E$105,D38,Collections!$J$6:$J$105,"Incomplete")+COUNTIFS(Collections!$B$6:$B$105,A38,Collections!$E$6:$E$105,D38,Collections!$J$6:$J$105,"Duplicate ID")&gt;0,"Review collections",IF(COUNTIFS(Collections!$B$6:$B$105,A38,Collections!$E$6:$E$105,D38,Collections!$J$6:$J$105,"Counted")=0,"",SUMIFS(Collections!$D$6:$D$105,Collections!$B$6:$B$105,A38,Collections!$E$6:$E$105,D38,Collections!$J$6:$J$105,"Counted"))))</x:f>
      </x:c>
      <x:c r="O38" s="17"/>
      <x:c r="P38" s="17"/>
    </x:row>
    <x:row r="39">
      <x:c r="A39" s="22"/>
      <x:c r="B39" s="22"/>
      <x:c r="C39" s="22"/>
      <x:c r="D39" s="22"/>
      <x:c r="E39" s="24"/>
      <x:c r="F39" s="24"/>
      <x:c r="G39" s="24"/>
      <x:c r="H39" s="24"/>
      <x:c r="I39" s="24"/>
      <x:c r="J39" s="25" t="str">
        <x:f>IF(COUNT(H39:I39)&lt;2,"",I39-H39)</x:f>
      </x:c>
      <x:c r="K39" s="26" t="str">
        <x:f>IF(COUNT(H39:I39)&lt;2,"",IF(I39=0,"n.a.",J39/I39))</x:f>
      </x:c>
      <x:c r="L39" s="26" t="str">
        <x:f>IF(COUNT(E39:F39)&lt;2,"",IF(E39=0,"n.a.",(F39-E39)/E39))</x:f>
      </x:c>
      <x:c r="M39" s="26" t="str">
        <x:f>IF(COUNT(G39:H39)&lt;2,"",IF(G39=0,"n.a.",(H39-G39)/G39))</x:f>
      </x:c>
      <x:c r="N39" s="27" t="str">
        <x:f>IF(A39="","",IF(COUNTIFS(Collections!$B$6:$B$105,A39,Collections!$E$6:$E$105,D39,Collections!$J$6:$J$105,"Incomplete")+COUNTIFS(Collections!$B$6:$B$105,A39,Collections!$E$6:$E$105,D39,Collections!$J$6:$J$105,"Duplicate ID")&gt;0,"Review collections",IF(COUNTIFS(Collections!$B$6:$B$105,A39,Collections!$E$6:$E$105,D39,Collections!$J$6:$J$105,"Counted")=0,"",SUMIFS(Collections!$D$6:$D$105,Collections!$B$6:$B$105,A39,Collections!$E$6:$E$105,D39,Collections!$J$6:$J$105,"Counted"))))</x:f>
      </x:c>
      <x:c r="O39" s="17"/>
      <x:c r="P39" s="17"/>
    </x:row>
    <x:row r="40">
      <x:c r="A40" s="22"/>
      <x:c r="B40" s="22"/>
      <x:c r="C40" s="22"/>
      <x:c r="D40" s="22"/>
      <x:c r="E40" s="24"/>
      <x:c r="F40" s="24"/>
      <x:c r="G40" s="24"/>
      <x:c r="H40" s="24"/>
      <x:c r="I40" s="24"/>
      <x:c r="J40" s="25" t="str">
        <x:f>IF(COUNT(H40:I40)&lt;2,"",I40-H40)</x:f>
      </x:c>
      <x:c r="K40" s="26" t="str">
        <x:f>IF(COUNT(H40:I40)&lt;2,"",IF(I40=0,"n.a.",J40/I40))</x:f>
      </x:c>
      <x:c r="L40" s="26" t="str">
        <x:f>IF(COUNT(E40:F40)&lt;2,"",IF(E40=0,"n.a.",(F40-E40)/E40))</x:f>
      </x:c>
      <x:c r="M40" s="26" t="str">
        <x:f>IF(COUNT(G40:H40)&lt;2,"",IF(G40=0,"n.a.",(H40-G40)/G40))</x:f>
      </x:c>
      <x:c r="N40" s="27" t="str">
        <x:f>IF(A40="","",IF(COUNTIFS(Collections!$B$6:$B$105,A40,Collections!$E$6:$E$105,D40,Collections!$J$6:$J$105,"Incomplete")+COUNTIFS(Collections!$B$6:$B$105,A40,Collections!$E$6:$E$105,D40,Collections!$J$6:$J$105,"Duplicate ID")&gt;0,"Review collections",IF(COUNTIFS(Collections!$B$6:$B$105,A40,Collections!$E$6:$E$105,D40,Collections!$J$6:$J$105,"Counted")=0,"",SUMIFS(Collections!$D$6:$D$105,Collections!$B$6:$B$105,A40,Collections!$E$6:$E$105,D40,Collections!$J$6:$J$105,"Counted"))))</x:f>
      </x:c>
      <x:c r="O40" s="17"/>
      <x:c r="P40" s="17"/>
    </x:row>
    <x:row r="41">
      <x:c r="A41" s="22"/>
      <x:c r="B41" s="22"/>
      <x:c r="C41" s="22"/>
      <x:c r="D41" s="22"/>
      <x:c r="E41" s="24"/>
      <x:c r="F41" s="24"/>
      <x:c r="G41" s="24"/>
      <x:c r="H41" s="24"/>
      <x:c r="I41" s="24"/>
      <x:c r="J41" s="25" t="str">
        <x:f>IF(COUNT(H41:I41)&lt;2,"",I41-H41)</x:f>
      </x:c>
      <x:c r="K41" s="26" t="str">
        <x:f>IF(COUNT(H41:I41)&lt;2,"",IF(I41=0,"n.a.",J41/I41))</x:f>
      </x:c>
      <x:c r="L41" s="26" t="str">
        <x:f>IF(COUNT(E41:F41)&lt;2,"",IF(E41=0,"n.a.",(F41-E41)/E41))</x:f>
      </x:c>
      <x:c r="M41" s="26" t="str">
        <x:f>IF(COUNT(G41:H41)&lt;2,"",IF(G41=0,"n.a.",(H41-G41)/G41))</x:f>
      </x:c>
      <x:c r="N41" s="27" t="str">
        <x:f>IF(A41="","",IF(COUNTIFS(Collections!$B$6:$B$105,A41,Collections!$E$6:$E$105,D41,Collections!$J$6:$J$105,"Incomplete")+COUNTIFS(Collections!$B$6:$B$105,A41,Collections!$E$6:$E$105,D41,Collections!$J$6:$J$105,"Duplicate ID")&gt;0,"Review collections",IF(COUNTIFS(Collections!$B$6:$B$105,A41,Collections!$E$6:$E$105,D41,Collections!$J$6:$J$105,"Counted")=0,"",SUMIFS(Collections!$D$6:$D$105,Collections!$B$6:$B$105,A41,Collections!$E$6:$E$105,D41,Collections!$J$6:$J$105,"Counted"))))</x:f>
      </x:c>
      <x:c r="O41" s="17"/>
      <x:c r="P41" s="17"/>
    </x:row>
    <x:row r="42">
      <x:c r="A42" s="22"/>
      <x:c r="B42" s="22"/>
      <x:c r="C42" s="22"/>
      <x:c r="D42" s="22"/>
      <x:c r="E42" s="24"/>
      <x:c r="F42" s="24"/>
      <x:c r="G42" s="24"/>
      <x:c r="H42" s="24"/>
      <x:c r="I42" s="24"/>
      <x:c r="J42" s="25" t="str">
        <x:f>IF(COUNT(H42:I42)&lt;2,"",I42-H42)</x:f>
      </x:c>
      <x:c r="K42" s="26" t="str">
        <x:f>IF(COUNT(H42:I42)&lt;2,"",IF(I42=0,"n.a.",J42/I42))</x:f>
      </x:c>
      <x:c r="L42" s="26" t="str">
        <x:f>IF(COUNT(E42:F42)&lt;2,"",IF(E42=0,"n.a.",(F42-E42)/E42))</x:f>
      </x:c>
      <x:c r="M42" s="26" t="str">
        <x:f>IF(COUNT(G42:H42)&lt;2,"",IF(G42=0,"n.a.",(H42-G42)/G42))</x:f>
      </x:c>
      <x:c r="N42" s="27" t="str">
        <x:f>IF(A42="","",IF(COUNTIFS(Collections!$B$6:$B$105,A42,Collections!$E$6:$E$105,D42,Collections!$J$6:$J$105,"Incomplete")+COUNTIFS(Collections!$B$6:$B$105,A42,Collections!$E$6:$E$105,D42,Collections!$J$6:$J$105,"Duplicate ID")&gt;0,"Review collections",IF(COUNTIFS(Collections!$B$6:$B$105,A42,Collections!$E$6:$E$105,D42,Collections!$J$6:$J$105,"Counted")=0,"",SUMIFS(Collections!$D$6:$D$105,Collections!$B$6:$B$105,A42,Collections!$E$6:$E$105,D42,Collections!$J$6:$J$105,"Counted"))))</x:f>
      </x:c>
      <x:c r="O42" s="17"/>
      <x:c r="P42" s="17"/>
    </x:row>
    <x:row r="43">
      <x:c r="A43" s="22"/>
      <x:c r="B43" s="22"/>
      <x:c r="C43" s="22"/>
      <x:c r="D43" s="22"/>
      <x:c r="E43" s="24"/>
      <x:c r="F43" s="24"/>
      <x:c r="G43" s="24"/>
      <x:c r="H43" s="24"/>
      <x:c r="I43" s="24"/>
      <x:c r="J43" s="25" t="str">
        <x:f>IF(COUNT(H43:I43)&lt;2,"",I43-H43)</x:f>
      </x:c>
      <x:c r="K43" s="26" t="str">
        <x:f>IF(COUNT(H43:I43)&lt;2,"",IF(I43=0,"n.a.",J43/I43))</x:f>
      </x:c>
      <x:c r="L43" s="26" t="str">
        <x:f>IF(COUNT(E43:F43)&lt;2,"",IF(E43=0,"n.a.",(F43-E43)/E43))</x:f>
      </x:c>
      <x:c r="M43" s="26" t="str">
        <x:f>IF(COUNT(G43:H43)&lt;2,"",IF(G43=0,"n.a.",(H43-G43)/G43))</x:f>
      </x:c>
      <x:c r="N43" s="27" t="str">
        <x:f>IF(A43="","",IF(COUNTIFS(Collections!$B$6:$B$105,A43,Collections!$E$6:$E$105,D43,Collections!$J$6:$J$105,"Incomplete")+COUNTIFS(Collections!$B$6:$B$105,A43,Collections!$E$6:$E$105,D43,Collections!$J$6:$J$105,"Duplicate ID")&gt;0,"Review collections",IF(COUNTIFS(Collections!$B$6:$B$105,A43,Collections!$E$6:$E$105,D43,Collections!$J$6:$J$105,"Counted")=0,"",SUMIFS(Collections!$D$6:$D$105,Collections!$B$6:$B$105,A43,Collections!$E$6:$E$105,D43,Collections!$J$6:$J$105,"Counted"))))</x:f>
      </x:c>
      <x:c r="O43" s="17"/>
      <x:c r="P43" s="17"/>
    </x:row>
    <x:row r="44">
      <x:c r="A44" s="22"/>
      <x:c r="B44" s="22"/>
      <x:c r="C44" s="22"/>
      <x:c r="D44" s="22"/>
      <x:c r="E44" s="24"/>
      <x:c r="F44" s="24"/>
      <x:c r="G44" s="24"/>
      <x:c r="H44" s="24"/>
      <x:c r="I44" s="24"/>
      <x:c r="J44" s="25" t="str">
        <x:f>IF(COUNT(H44:I44)&lt;2,"",I44-H44)</x:f>
      </x:c>
      <x:c r="K44" s="26" t="str">
        <x:f>IF(COUNT(H44:I44)&lt;2,"",IF(I44=0,"n.a.",J44/I44))</x:f>
      </x:c>
      <x:c r="L44" s="26" t="str">
        <x:f>IF(COUNT(E44:F44)&lt;2,"",IF(E44=0,"n.a.",(F44-E44)/E44))</x:f>
      </x:c>
      <x:c r="M44" s="26" t="str">
        <x:f>IF(COUNT(G44:H44)&lt;2,"",IF(G44=0,"n.a.",(H44-G44)/G44))</x:f>
      </x:c>
      <x:c r="N44" s="27" t="str">
        <x:f>IF(A44="","",IF(COUNTIFS(Collections!$B$6:$B$105,A44,Collections!$E$6:$E$105,D44,Collections!$J$6:$J$105,"Incomplete")+COUNTIFS(Collections!$B$6:$B$105,A44,Collections!$E$6:$E$105,D44,Collections!$J$6:$J$105,"Duplicate ID")&gt;0,"Review collections",IF(COUNTIFS(Collections!$B$6:$B$105,A44,Collections!$E$6:$E$105,D44,Collections!$J$6:$J$105,"Counted")=0,"",SUMIFS(Collections!$D$6:$D$105,Collections!$B$6:$B$105,A44,Collections!$E$6:$E$105,D44,Collections!$J$6:$J$105,"Counted"))))</x:f>
      </x:c>
      <x:c r="O44" s="17"/>
      <x:c r="P44" s="17"/>
    </x:row>
    <x:row r="45">
      <x:c r="A45" s="22"/>
      <x:c r="B45" s="22"/>
      <x:c r="C45" s="22"/>
      <x:c r="D45" s="22"/>
      <x:c r="E45" s="24"/>
      <x:c r="F45" s="24"/>
      <x:c r="G45" s="24"/>
      <x:c r="H45" s="24"/>
      <x:c r="I45" s="24"/>
      <x:c r="J45" s="25" t="str">
        <x:f>IF(COUNT(H45:I45)&lt;2,"",I45-H45)</x:f>
      </x:c>
      <x:c r="K45" s="26" t="str">
        <x:f>IF(COUNT(H45:I45)&lt;2,"",IF(I45=0,"n.a.",J45/I45))</x:f>
      </x:c>
      <x:c r="L45" s="26" t="str">
        <x:f>IF(COUNT(E45:F45)&lt;2,"",IF(E45=0,"n.a.",(F45-E45)/E45))</x:f>
      </x:c>
      <x:c r="M45" s="26" t="str">
        <x:f>IF(COUNT(G45:H45)&lt;2,"",IF(G45=0,"n.a.",(H45-G45)/G45))</x:f>
      </x:c>
      <x:c r="N45" s="27" t="str">
        <x:f>IF(A45="","",IF(COUNTIFS(Collections!$B$6:$B$105,A45,Collections!$E$6:$E$105,D45,Collections!$J$6:$J$105,"Incomplete")+COUNTIFS(Collections!$B$6:$B$105,A45,Collections!$E$6:$E$105,D45,Collections!$J$6:$J$105,"Duplicate ID")&gt;0,"Review collections",IF(COUNTIFS(Collections!$B$6:$B$105,A45,Collections!$E$6:$E$105,D45,Collections!$J$6:$J$105,"Counted")=0,"",SUMIFS(Collections!$D$6:$D$105,Collections!$B$6:$B$105,A45,Collections!$E$6:$E$105,D45,Collections!$J$6:$J$105,"Counted"))))</x:f>
      </x:c>
      <x:c r="O45" s="17"/>
      <x:c r="P45" s="17"/>
    </x:row>
    <x:row r="46">
      <x:c r="A46" s="22"/>
      <x:c r="B46" s="22"/>
      <x:c r="C46" s="22"/>
      <x:c r="D46" s="22"/>
      <x:c r="E46" s="24"/>
      <x:c r="F46" s="24"/>
      <x:c r="G46" s="24"/>
      <x:c r="H46" s="24"/>
      <x:c r="I46" s="24"/>
      <x:c r="J46" s="25" t="str">
        <x:f>IF(COUNT(H46:I46)&lt;2,"",I46-H46)</x:f>
      </x:c>
      <x:c r="K46" s="26" t="str">
        <x:f>IF(COUNT(H46:I46)&lt;2,"",IF(I46=0,"n.a.",J46/I46))</x:f>
      </x:c>
      <x:c r="L46" s="26" t="str">
        <x:f>IF(COUNT(E46:F46)&lt;2,"",IF(E46=0,"n.a.",(F46-E46)/E46))</x:f>
      </x:c>
      <x:c r="M46" s="26" t="str">
        <x:f>IF(COUNT(G46:H46)&lt;2,"",IF(G46=0,"n.a.",(H46-G46)/G46))</x:f>
      </x:c>
      <x:c r="N46" s="27" t="str">
        <x:f>IF(A46="","",IF(COUNTIFS(Collections!$B$6:$B$105,A46,Collections!$E$6:$E$105,D46,Collections!$J$6:$J$105,"Incomplete")+COUNTIFS(Collections!$B$6:$B$105,A46,Collections!$E$6:$E$105,D46,Collections!$J$6:$J$105,"Duplicate ID")&gt;0,"Review collections",IF(COUNTIFS(Collections!$B$6:$B$105,A46,Collections!$E$6:$E$105,D46,Collections!$J$6:$J$105,"Counted")=0,"",SUMIFS(Collections!$D$6:$D$105,Collections!$B$6:$B$105,A46,Collections!$E$6:$E$105,D46,Collections!$J$6:$J$105,"Counted"))))</x:f>
      </x:c>
      <x:c r="O46" s="17"/>
      <x:c r="P46" s="17"/>
    </x:row>
    <x:row r="47">
      <x:c r="A47" s="22"/>
      <x:c r="B47" s="22"/>
      <x:c r="C47" s="22"/>
      <x:c r="D47" s="22"/>
      <x:c r="E47" s="24"/>
      <x:c r="F47" s="24"/>
      <x:c r="G47" s="24"/>
      <x:c r="H47" s="24"/>
      <x:c r="I47" s="24"/>
      <x:c r="J47" s="25" t="str">
        <x:f>IF(COUNT(H47:I47)&lt;2,"",I47-H47)</x:f>
      </x:c>
      <x:c r="K47" s="26" t="str">
        <x:f>IF(COUNT(H47:I47)&lt;2,"",IF(I47=0,"n.a.",J47/I47))</x:f>
      </x:c>
      <x:c r="L47" s="26" t="str">
        <x:f>IF(COUNT(E47:F47)&lt;2,"",IF(E47=0,"n.a.",(F47-E47)/E47))</x:f>
      </x:c>
      <x:c r="M47" s="26" t="str">
        <x:f>IF(COUNT(G47:H47)&lt;2,"",IF(G47=0,"n.a.",(H47-G47)/G47))</x:f>
      </x:c>
      <x:c r="N47" s="27" t="str">
        <x:f>IF(A47="","",IF(COUNTIFS(Collections!$B$6:$B$105,A47,Collections!$E$6:$E$105,D47,Collections!$J$6:$J$105,"Incomplete")+COUNTIFS(Collections!$B$6:$B$105,A47,Collections!$E$6:$E$105,D47,Collections!$J$6:$J$105,"Duplicate ID")&gt;0,"Review collections",IF(COUNTIFS(Collections!$B$6:$B$105,A47,Collections!$E$6:$E$105,D47,Collections!$J$6:$J$105,"Counted")=0,"",SUMIFS(Collections!$D$6:$D$105,Collections!$B$6:$B$105,A47,Collections!$E$6:$E$105,D47,Collections!$J$6:$J$105,"Counted"))))</x:f>
      </x:c>
      <x:c r="O47" s="17"/>
      <x:c r="P47" s="17"/>
    </x:row>
    <x:row r="48">
      <x:c r="A48" s="22"/>
      <x:c r="B48" s="22"/>
      <x:c r="C48" s="22"/>
      <x:c r="D48" s="22"/>
      <x:c r="E48" s="24"/>
      <x:c r="F48" s="24"/>
      <x:c r="G48" s="24"/>
      <x:c r="H48" s="24"/>
      <x:c r="I48" s="24"/>
      <x:c r="J48" s="25" t="str">
        <x:f>IF(COUNT(H48:I48)&lt;2,"",I48-H48)</x:f>
      </x:c>
      <x:c r="K48" s="26" t="str">
        <x:f>IF(COUNT(H48:I48)&lt;2,"",IF(I48=0,"n.a.",J48/I48))</x:f>
      </x:c>
      <x:c r="L48" s="26" t="str">
        <x:f>IF(COUNT(E48:F48)&lt;2,"",IF(E48=0,"n.a.",(F48-E48)/E48))</x:f>
      </x:c>
      <x:c r="M48" s="26" t="str">
        <x:f>IF(COUNT(G48:H48)&lt;2,"",IF(G48=0,"n.a.",(H48-G48)/G48))</x:f>
      </x:c>
      <x:c r="N48" s="27" t="str">
        <x:f>IF(A48="","",IF(COUNTIFS(Collections!$B$6:$B$105,A48,Collections!$E$6:$E$105,D48,Collections!$J$6:$J$105,"Incomplete")+COUNTIFS(Collections!$B$6:$B$105,A48,Collections!$E$6:$E$105,D48,Collections!$J$6:$J$105,"Duplicate ID")&gt;0,"Review collections",IF(COUNTIFS(Collections!$B$6:$B$105,A48,Collections!$E$6:$E$105,D48,Collections!$J$6:$J$105,"Counted")=0,"",SUMIFS(Collections!$D$6:$D$105,Collections!$B$6:$B$105,A48,Collections!$E$6:$E$105,D48,Collections!$J$6:$J$105,"Counted"))))</x:f>
      </x:c>
      <x:c r="O48" s="17"/>
      <x:c r="P48" s="17"/>
    </x:row>
    <x:row r="49">
      <x:c r="A49" s="22"/>
      <x:c r="B49" s="22"/>
      <x:c r="C49" s="22"/>
      <x:c r="D49" s="22"/>
      <x:c r="E49" s="24"/>
      <x:c r="F49" s="24"/>
      <x:c r="G49" s="24"/>
      <x:c r="H49" s="24"/>
      <x:c r="I49" s="24"/>
      <x:c r="J49" s="25" t="str">
        <x:f>IF(COUNT(H49:I49)&lt;2,"",I49-H49)</x:f>
      </x:c>
      <x:c r="K49" s="26" t="str">
        <x:f>IF(COUNT(H49:I49)&lt;2,"",IF(I49=0,"n.a.",J49/I49))</x:f>
      </x:c>
      <x:c r="L49" s="26" t="str">
        <x:f>IF(COUNT(E49:F49)&lt;2,"",IF(E49=0,"n.a.",(F49-E49)/E49))</x:f>
      </x:c>
      <x:c r="M49" s="26" t="str">
        <x:f>IF(COUNT(G49:H49)&lt;2,"",IF(G49=0,"n.a.",(H49-G49)/G49))</x:f>
      </x:c>
      <x:c r="N49" s="27" t="str">
        <x:f>IF(A49="","",IF(COUNTIFS(Collections!$B$6:$B$105,A49,Collections!$E$6:$E$105,D49,Collections!$J$6:$J$105,"Incomplete")+COUNTIFS(Collections!$B$6:$B$105,A49,Collections!$E$6:$E$105,D49,Collections!$J$6:$J$105,"Duplicate ID")&gt;0,"Review collections",IF(COUNTIFS(Collections!$B$6:$B$105,A49,Collections!$E$6:$E$105,D49,Collections!$J$6:$J$105,"Counted")=0,"",SUMIFS(Collections!$D$6:$D$105,Collections!$B$6:$B$105,A49,Collections!$E$6:$E$105,D49,Collections!$J$6:$J$105,"Counted"))))</x:f>
      </x:c>
      <x:c r="O49" s="17"/>
      <x:c r="P49" s="17"/>
    </x:row>
    <x:row r="50">
      <x:c r="A50" s="22"/>
      <x:c r="B50" s="22"/>
      <x:c r="C50" s="22"/>
      <x:c r="D50" s="22"/>
      <x:c r="E50" s="24"/>
      <x:c r="F50" s="24"/>
      <x:c r="G50" s="24"/>
      <x:c r="H50" s="24"/>
      <x:c r="I50" s="24"/>
      <x:c r="J50" s="25" t="str">
        <x:f>IF(COUNT(H50:I50)&lt;2,"",I50-H50)</x:f>
      </x:c>
      <x:c r="K50" s="26" t="str">
        <x:f>IF(COUNT(H50:I50)&lt;2,"",IF(I50=0,"n.a.",J50/I50))</x:f>
      </x:c>
      <x:c r="L50" s="26" t="str">
        <x:f>IF(COUNT(E50:F50)&lt;2,"",IF(E50=0,"n.a.",(F50-E50)/E50))</x:f>
      </x:c>
      <x:c r="M50" s="26" t="str">
        <x:f>IF(COUNT(G50:H50)&lt;2,"",IF(G50=0,"n.a.",(H50-G50)/G50))</x:f>
      </x:c>
      <x:c r="N50" s="27" t="str">
        <x:f>IF(A50="","",IF(COUNTIFS(Collections!$B$6:$B$105,A50,Collections!$E$6:$E$105,D50,Collections!$J$6:$J$105,"Incomplete")+COUNTIFS(Collections!$B$6:$B$105,A50,Collections!$E$6:$E$105,D50,Collections!$J$6:$J$105,"Duplicate ID")&gt;0,"Review collections",IF(COUNTIFS(Collections!$B$6:$B$105,A50,Collections!$E$6:$E$105,D50,Collections!$J$6:$J$105,"Counted")=0,"",SUMIFS(Collections!$D$6:$D$105,Collections!$B$6:$B$105,A50,Collections!$E$6:$E$105,D50,Collections!$J$6:$J$105,"Counted"))))</x:f>
      </x:c>
      <x:c r="O50" s="17"/>
      <x:c r="P50" s="17"/>
    </x:row>
    <x:row r="51">
      <x:c r="A51" s="22"/>
      <x:c r="B51" s="22"/>
      <x:c r="C51" s="22"/>
      <x:c r="D51" s="22"/>
      <x:c r="E51" s="24"/>
      <x:c r="F51" s="24"/>
      <x:c r="G51" s="24"/>
      <x:c r="H51" s="24"/>
      <x:c r="I51" s="24"/>
      <x:c r="J51" s="25" t="str">
        <x:f>IF(COUNT(H51:I51)&lt;2,"",I51-H51)</x:f>
      </x:c>
      <x:c r="K51" s="26" t="str">
        <x:f>IF(COUNT(H51:I51)&lt;2,"",IF(I51=0,"n.a.",J51/I51))</x:f>
      </x:c>
      <x:c r="L51" s="26" t="str">
        <x:f>IF(COUNT(E51:F51)&lt;2,"",IF(E51=0,"n.a.",(F51-E51)/E51))</x:f>
      </x:c>
      <x:c r="M51" s="26" t="str">
        <x:f>IF(COUNT(G51:H51)&lt;2,"",IF(G51=0,"n.a.",(H51-G51)/G51))</x:f>
      </x:c>
      <x:c r="N51" s="27" t="str">
        <x:f>IF(A51="","",IF(COUNTIFS(Collections!$B$6:$B$105,A51,Collections!$E$6:$E$105,D51,Collections!$J$6:$J$105,"Incomplete")+COUNTIFS(Collections!$B$6:$B$105,A51,Collections!$E$6:$E$105,D51,Collections!$J$6:$J$105,"Duplicate ID")&gt;0,"Review collections",IF(COUNTIFS(Collections!$B$6:$B$105,A51,Collections!$E$6:$E$105,D51,Collections!$J$6:$J$105,"Counted")=0,"",SUMIFS(Collections!$D$6:$D$105,Collections!$B$6:$B$105,A51,Collections!$E$6:$E$105,D51,Collections!$J$6:$J$105,"Counted"))))</x:f>
      </x:c>
      <x:c r="O51" s="17"/>
      <x:c r="P51" s="17"/>
    </x:row>
    <x:row r="52">
      <x:c r="A52" s="22"/>
      <x:c r="B52" s="22"/>
      <x:c r="C52" s="22"/>
      <x:c r="D52" s="22"/>
      <x:c r="E52" s="24"/>
      <x:c r="F52" s="24"/>
      <x:c r="G52" s="24"/>
      <x:c r="H52" s="24"/>
      <x:c r="I52" s="24"/>
      <x:c r="J52" s="25" t="str">
        <x:f>IF(COUNT(H52:I52)&lt;2,"",I52-H52)</x:f>
      </x:c>
      <x:c r="K52" s="26" t="str">
        <x:f>IF(COUNT(H52:I52)&lt;2,"",IF(I52=0,"n.a.",J52/I52))</x:f>
      </x:c>
      <x:c r="L52" s="26" t="str">
        <x:f>IF(COUNT(E52:F52)&lt;2,"",IF(E52=0,"n.a.",(F52-E52)/E52))</x:f>
      </x:c>
      <x:c r="M52" s="26" t="str">
        <x:f>IF(COUNT(G52:H52)&lt;2,"",IF(G52=0,"n.a.",(H52-G52)/G52))</x:f>
      </x:c>
      <x:c r="N52" s="27" t="str">
        <x:f>IF(A52="","",IF(COUNTIFS(Collections!$B$6:$B$105,A52,Collections!$E$6:$E$105,D52,Collections!$J$6:$J$105,"Incomplete")+COUNTIFS(Collections!$B$6:$B$105,A52,Collections!$E$6:$E$105,D52,Collections!$J$6:$J$105,"Duplicate ID")&gt;0,"Review collections",IF(COUNTIFS(Collections!$B$6:$B$105,A52,Collections!$E$6:$E$105,D52,Collections!$J$6:$J$105,"Counted")=0,"",SUMIFS(Collections!$D$6:$D$105,Collections!$B$6:$B$105,A52,Collections!$E$6:$E$105,D52,Collections!$J$6:$J$105,"Counted"))))</x:f>
      </x:c>
      <x:c r="O52" s="17"/>
      <x:c r="P52" s="17"/>
    </x:row>
    <x:row r="53">
      <x:c r="A53" s="22"/>
      <x:c r="B53" s="22"/>
      <x:c r="C53" s="22"/>
      <x:c r="D53" s="22"/>
      <x:c r="E53" s="24"/>
      <x:c r="F53" s="24"/>
      <x:c r="G53" s="24"/>
      <x:c r="H53" s="24"/>
      <x:c r="I53" s="24"/>
      <x:c r="J53" s="25" t="str">
        <x:f>IF(COUNT(H53:I53)&lt;2,"",I53-H53)</x:f>
      </x:c>
      <x:c r="K53" s="26" t="str">
        <x:f>IF(COUNT(H53:I53)&lt;2,"",IF(I53=0,"n.a.",J53/I53))</x:f>
      </x:c>
      <x:c r="L53" s="26" t="str">
        <x:f>IF(COUNT(E53:F53)&lt;2,"",IF(E53=0,"n.a.",(F53-E53)/E53))</x:f>
      </x:c>
      <x:c r="M53" s="26" t="str">
        <x:f>IF(COUNT(G53:H53)&lt;2,"",IF(G53=0,"n.a.",(H53-G53)/G53))</x:f>
      </x:c>
      <x:c r="N53" s="27" t="str">
        <x:f>IF(A53="","",IF(COUNTIFS(Collections!$B$6:$B$105,A53,Collections!$E$6:$E$105,D53,Collections!$J$6:$J$105,"Incomplete")+COUNTIFS(Collections!$B$6:$B$105,A53,Collections!$E$6:$E$105,D53,Collections!$J$6:$J$105,"Duplicate ID")&gt;0,"Review collections",IF(COUNTIFS(Collections!$B$6:$B$105,A53,Collections!$E$6:$E$105,D53,Collections!$J$6:$J$105,"Counted")=0,"",SUMIFS(Collections!$D$6:$D$105,Collections!$B$6:$B$105,A53,Collections!$E$6:$E$105,D53,Collections!$J$6:$J$105,"Counted"))))</x:f>
      </x:c>
      <x:c r="O53" s="17"/>
      <x:c r="P53" s="17"/>
    </x:row>
    <x:row r="54">
      <x:c r="A54" s="22"/>
      <x:c r="B54" s="22"/>
      <x:c r="C54" s="22"/>
      <x:c r="D54" s="22"/>
      <x:c r="E54" s="24"/>
      <x:c r="F54" s="24"/>
      <x:c r="G54" s="24"/>
      <x:c r="H54" s="24"/>
      <x:c r="I54" s="24"/>
      <x:c r="J54" s="25" t="str">
        <x:f>IF(COUNT(H54:I54)&lt;2,"",I54-H54)</x:f>
      </x:c>
      <x:c r="K54" s="26" t="str">
        <x:f>IF(COUNT(H54:I54)&lt;2,"",IF(I54=0,"n.a.",J54/I54))</x:f>
      </x:c>
      <x:c r="L54" s="26" t="str">
        <x:f>IF(COUNT(E54:F54)&lt;2,"",IF(E54=0,"n.a.",(F54-E54)/E54))</x:f>
      </x:c>
      <x:c r="M54" s="26" t="str">
        <x:f>IF(COUNT(G54:H54)&lt;2,"",IF(G54=0,"n.a.",(H54-G54)/G54))</x:f>
      </x:c>
      <x:c r="N54" s="27" t="str">
        <x:f>IF(A54="","",IF(COUNTIFS(Collections!$B$6:$B$105,A54,Collections!$E$6:$E$105,D54,Collections!$J$6:$J$105,"Incomplete")+COUNTIFS(Collections!$B$6:$B$105,A54,Collections!$E$6:$E$105,D54,Collections!$J$6:$J$105,"Duplicate ID")&gt;0,"Review collections",IF(COUNTIFS(Collections!$B$6:$B$105,A54,Collections!$E$6:$E$105,D54,Collections!$J$6:$J$105,"Counted")=0,"",SUMIFS(Collections!$D$6:$D$105,Collections!$B$6:$B$105,A54,Collections!$E$6:$E$105,D54,Collections!$J$6:$J$105,"Counted"))))</x:f>
      </x:c>
      <x:c r="O54" s="17"/>
      <x:c r="P54" s="17"/>
    </x:row>
    <x:row r="55">
      <x:c r="A55" s="22"/>
      <x:c r="B55" s="22"/>
      <x:c r="C55" s="22"/>
      <x:c r="D55" s="22"/>
      <x:c r="E55" s="24"/>
      <x:c r="F55" s="24"/>
      <x:c r="G55" s="24"/>
      <x:c r="H55" s="24"/>
      <x:c r="I55" s="24"/>
      <x:c r="J55" s="25" t="str">
        <x:f>IF(COUNT(H55:I55)&lt;2,"",I55-H55)</x:f>
      </x:c>
      <x:c r="K55" s="26" t="str">
        <x:f>IF(COUNT(H55:I55)&lt;2,"",IF(I55=0,"n.a.",J55/I55))</x:f>
      </x:c>
      <x:c r="L55" s="26" t="str">
        <x:f>IF(COUNT(E55:F55)&lt;2,"",IF(E55=0,"n.a.",(F55-E55)/E55))</x:f>
      </x:c>
      <x:c r="M55" s="26" t="str">
        <x:f>IF(COUNT(G55:H55)&lt;2,"",IF(G55=0,"n.a.",(H55-G55)/G55))</x:f>
      </x:c>
      <x:c r="N55" s="27" t="str">
        <x:f>IF(A55="","",IF(COUNTIFS(Collections!$B$6:$B$105,A55,Collections!$E$6:$E$105,D55,Collections!$J$6:$J$105,"Incomplete")+COUNTIFS(Collections!$B$6:$B$105,A55,Collections!$E$6:$E$105,D55,Collections!$J$6:$J$105,"Duplicate ID")&gt;0,"Review collections",IF(COUNTIFS(Collections!$B$6:$B$105,A55,Collections!$E$6:$E$105,D55,Collections!$J$6:$J$105,"Counted")=0,"",SUMIFS(Collections!$D$6:$D$105,Collections!$B$6:$B$105,A55,Collections!$E$6:$E$105,D55,Collections!$J$6:$J$105,"Counted"))))</x:f>
      </x:c>
      <x:c r="O55" s="17"/>
      <x:c r="P55" s="17"/>
    </x:row>
    <x:row r="56">
      <x:c r="A56" s="22"/>
      <x:c r="B56" s="22"/>
      <x:c r="C56" s="22"/>
      <x:c r="D56" s="22"/>
      <x:c r="E56" s="24"/>
      <x:c r="F56" s="24"/>
      <x:c r="G56" s="24"/>
      <x:c r="H56" s="24"/>
      <x:c r="I56" s="24"/>
      <x:c r="J56" s="25" t="str">
        <x:f>IF(COUNT(H56:I56)&lt;2,"",I56-H56)</x:f>
      </x:c>
      <x:c r="K56" s="26" t="str">
        <x:f>IF(COUNT(H56:I56)&lt;2,"",IF(I56=0,"n.a.",J56/I56))</x:f>
      </x:c>
      <x:c r="L56" s="26" t="str">
        <x:f>IF(COUNT(E56:F56)&lt;2,"",IF(E56=0,"n.a.",(F56-E56)/E56))</x:f>
      </x:c>
      <x:c r="M56" s="26" t="str">
        <x:f>IF(COUNT(G56:H56)&lt;2,"",IF(G56=0,"n.a.",(H56-G56)/G56))</x:f>
      </x:c>
      <x:c r="N56" s="27" t="str">
        <x:f>IF(A56="","",IF(COUNTIFS(Collections!$B$6:$B$105,A56,Collections!$E$6:$E$105,D56,Collections!$J$6:$J$105,"Incomplete")+COUNTIFS(Collections!$B$6:$B$105,A56,Collections!$E$6:$E$105,D56,Collections!$J$6:$J$105,"Duplicate ID")&gt;0,"Review collections",IF(COUNTIFS(Collections!$B$6:$B$105,A56,Collections!$E$6:$E$105,D56,Collections!$J$6:$J$105,"Counted")=0,"",SUMIFS(Collections!$D$6:$D$105,Collections!$B$6:$B$105,A56,Collections!$E$6:$E$105,D56,Collections!$J$6:$J$105,"Counted"))))</x:f>
      </x:c>
      <x:c r="O56" s="17"/>
      <x:c r="P56" s="17"/>
    </x:row>
    <x:row r="57">
      <x:c r="A57" s="22"/>
      <x:c r="B57" s="22"/>
      <x:c r="C57" s="22"/>
      <x:c r="D57" s="22"/>
      <x:c r="E57" s="24"/>
      <x:c r="F57" s="24"/>
      <x:c r="G57" s="24"/>
      <x:c r="H57" s="24"/>
      <x:c r="I57" s="24"/>
      <x:c r="J57" s="25" t="str">
        <x:f>IF(COUNT(H57:I57)&lt;2,"",I57-H57)</x:f>
      </x:c>
      <x:c r="K57" s="26" t="str">
        <x:f>IF(COUNT(H57:I57)&lt;2,"",IF(I57=0,"n.a.",J57/I57))</x:f>
      </x:c>
      <x:c r="L57" s="26" t="str">
        <x:f>IF(COUNT(E57:F57)&lt;2,"",IF(E57=0,"n.a.",(F57-E57)/E57))</x:f>
      </x:c>
      <x:c r="M57" s="26" t="str">
        <x:f>IF(COUNT(G57:H57)&lt;2,"",IF(G57=0,"n.a.",(H57-G57)/G57))</x:f>
      </x:c>
      <x:c r="N57" s="27" t="str">
        <x:f>IF(A57="","",IF(COUNTIFS(Collections!$B$6:$B$105,A57,Collections!$E$6:$E$105,D57,Collections!$J$6:$J$105,"Incomplete")+COUNTIFS(Collections!$B$6:$B$105,A57,Collections!$E$6:$E$105,D57,Collections!$J$6:$J$105,"Duplicate ID")&gt;0,"Review collections",IF(COUNTIFS(Collections!$B$6:$B$105,A57,Collections!$E$6:$E$105,D57,Collections!$J$6:$J$105,"Counted")=0,"",SUMIFS(Collections!$D$6:$D$105,Collections!$B$6:$B$105,A57,Collections!$E$6:$E$105,D57,Collections!$J$6:$J$105,"Counted"))))</x:f>
      </x:c>
      <x:c r="O57" s="17"/>
      <x:c r="P57" s="17"/>
    </x:row>
    <x:row r="58">
      <x:c r="A58" s="22"/>
      <x:c r="B58" s="22"/>
      <x:c r="C58" s="22"/>
      <x:c r="D58" s="22"/>
      <x:c r="E58" s="24"/>
      <x:c r="F58" s="24"/>
      <x:c r="G58" s="24"/>
      <x:c r="H58" s="24"/>
      <x:c r="I58" s="24"/>
      <x:c r="J58" s="25" t="str">
        <x:f>IF(COUNT(H58:I58)&lt;2,"",I58-H58)</x:f>
      </x:c>
      <x:c r="K58" s="26" t="str">
        <x:f>IF(COUNT(H58:I58)&lt;2,"",IF(I58=0,"n.a.",J58/I58))</x:f>
      </x:c>
      <x:c r="L58" s="26" t="str">
        <x:f>IF(COUNT(E58:F58)&lt;2,"",IF(E58=0,"n.a.",(F58-E58)/E58))</x:f>
      </x:c>
      <x:c r="M58" s="26" t="str">
        <x:f>IF(COUNT(G58:H58)&lt;2,"",IF(G58=0,"n.a.",(H58-G58)/G58))</x:f>
      </x:c>
      <x:c r="N58" s="27" t="str">
        <x:f>IF(A58="","",IF(COUNTIFS(Collections!$B$6:$B$105,A58,Collections!$E$6:$E$105,D58,Collections!$J$6:$J$105,"Incomplete")+COUNTIFS(Collections!$B$6:$B$105,A58,Collections!$E$6:$E$105,D58,Collections!$J$6:$J$105,"Duplicate ID")&gt;0,"Review collections",IF(COUNTIFS(Collections!$B$6:$B$105,A58,Collections!$E$6:$E$105,D58,Collections!$J$6:$J$105,"Counted")=0,"",SUMIFS(Collections!$D$6:$D$105,Collections!$B$6:$B$105,A58,Collections!$E$6:$E$105,D58,Collections!$J$6:$J$105,"Counted"))))</x:f>
      </x:c>
      <x:c r="O58" s="17"/>
      <x:c r="P58" s="17"/>
    </x:row>
    <x:row r="59">
      <x:c r="A59" s="22"/>
      <x:c r="B59" s="22"/>
      <x:c r="C59" s="22"/>
      <x:c r="D59" s="22"/>
      <x:c r="E59" s="24"/>
      <x:c r="F59" s="24"/>
      <x:c r="G59" s="24"/>
      <x:c r="H59" s="24"/>
      <x:c r="I59" s="24"/>
      <x:c r="J59" s="25" t="str">
        <x:f>IF(COUNT(H59:I59)&lt;2,"",I59-H59)</x:f>
      </x:c>
      <x:c r="K59" s="26" t="str">
        <x:f>IF(COUNT(H59:I59)&lt;2,"",IF(I59=0,"n.a.",J59/I59))</x:f>
      </x:c>
      <x:c r="L59" s="26" t="str">
        <x:f>IF(COUNT(E59:F59)&lt;2,"",IF(E59=0,"n.a.",(F59-E59)/E59))</x:f>
      </x:c>
      <x:c r="M59" s="26" t="str">
        <x:f>IF(COUNT(G59:H59)&lt;2,"",IF(G59=0,"n.a.",(H59-G59)/G59))</x:f>
      </x:c>
      <x:c r="N59" s="27" t="str">
        <x:f>IF(A59="","",IF(COUNTIFS(Collections!$B$6:$B$105,A59,Collections!$E$6:$E$105,D59,Collections!$J$6:$J$105,"Incomplete")+COUNTIFS(Collections!$B$6:$B$105,A59,Collections!$E$6:$E$105,D59,Collections!$J$6:$J$105,"Duplicate ID")&gt;0,"Review collections",IF(COUNTIFS(Collections!$B$6:$B$105,A59,Collections!$E$6:$E$105,D59,Collections!$J$6:$J$105,"Counted")=0,"",SUMIFS(Collections!$D$6:$D$105,Collections!$B$6:$B$105,A59,Collections!$E$6:$E$105,D59,Collections!$J$6:$J$105,"Counted"))))</x:f>
      </x:c>
      <x:c r="O59" s="17"/>
      <x:c r="P59" s="17"/>
    </x:row>
    <x:row r="60">
      <x:c r="A60" s="22"/>
      <x:c r="B60" s="22"/>
      <x:c r="C60" s="22"/>
      <x:c r="D60" s="22"/>
      <x:c r="E60" s="24"/>
      <x:c r="F60" s="24"/>
      <x:c r="G60" s="24"/>
      <x:c r="H60" s="24"/>
      <x:c r="I60" s="24"/>
      <x:c r="J60" s="25" t="str">
        <x:f>IF(COUNT(H60:I60)&lt;2,"",I60-H60)</x:f>
      </x:c>
      <x:c r="K60" s="26" t="str">
        <x:f>IF(COUNT(H60:I60)&lt;2,"",IF(I60=0,"n.a.",J60/I60))</x:f>
      </x:c>
      <x:c r="L60" s="26" t="str">
        <x:f>IF(COUNT(E60:F60)&lt;2,"",IF(E60=0,"n.a.",(F60-E60)/E60))</x:f>
      </x:c>
      <x:c r="M60" s="26" t="str">
        <x:f>IF(COUNT(G60:H60)&lt;2,"",IF(G60=0,"n.a.",(H60-G60)/G60))</x:f>
      </x:c>
      <x:c r="N60" s="27" t="str">
        <x:f>IF(A60="","",IF(COUNTIFS(Collections!$B$6:$B$105,A60,Collections!$E$6:$E$105,D60,Collections!$J$6:$J$105,"Incomplete")+COUNTIFS(Collections!$B$6:$B$105,A60,Collections!$E$6:$E$105,D60,Collections!$J$6:$J$105,"Duplicate ID")&gt;0,"Review collections",IF(COUNTIFS(Collections!$B$6:$B$105,A60,Collections!$E$6:$E$105,D60,Collections!$J$6:$J$105,"Counted")=0,"",SUMIFS(Collections!$D$6:$D$105,Collections!$B$6:$B$105,A60,Collections!$E$6:$E$105,D60,Collections!$J$6:$J$105,"Counted"))))</x:f>
      </x:c>
      <x:c r="O60" s="17"/>
      <x:c r="P60" s="17"/>
    </x:row>
    <x:row r="61">
      <x:c r="A61" s="22"/>
      <x:c r="B61" s="22"/>
      <x:c r="C61" s="22"/>
      <x:c r="D61" s="22"/>
      <x:c r="E61" s="24"/>
      <x:c r="F61" s="24"/>
      <x:c r="G61" s="24"/>
      <x:c r="H61" s="24"/>
      <x:c r="I61" s="24"/>
      <x:c r="J61" s="25" t="str">
        <x:f>IF(COUNT(H61:I61)&lt;2,"",I61-H61)</x:f>
      </x:c>
      <x:c r="K61" s="26" t="str">
        <x:f>IF(COUNT(H61:I61)&lt;2,"",IF(I61=0,"n.a.",J61/I61))</x:f>
      </x:c>
      <x:c r="L61" s="26" t="str">
        <x:f>IF(COUNT(E61:F61)&lt;2,"",IF(E61=0,"n.a.",(F61-E61)/E61))</x:f>
      </x:c>
      <x:c r="M61" s="26" t="str">
        <x:f>IF(COUNT(G61:H61)&lt;2,"",IF(G61=0,"n.a.",(H61-G61)/G61))</x:f>
      </x:c>
      <x:c r="N61" s="27" t="str">
        <x:f>IF(A61="","",IF(COUNTIFS(Collections!$B$6:$B$105,A61,Collections!$E$6:$E$105,D61,Collections!$J$6:$J$105,"Incomplete")+COUNTIFS(Collections!$B$6:$B$105,A61,Collections!$E$6:$E$105,D61,Collections!$J$6:$J$105,"Duplicate ID")&gt;0,"Review collections",IF(COUNTIFS(Collections!$B$6:$B$105,A61,Collections!$E$6:$E$105,D61,Collections!$J$6:$J$105,"Counted")=0,"",SUMIFS(Collections!$D$6:$D$105,Collections!$B$6:$B$105,A61,Collections!$E$6:$E$105,D61,Collections!$J$6:$J$105,"Counted"))))</x:f>
      </x:c>
      <x:c r="O61" s="17"/>
      <x:c r="P61" s="17"/>
    </x:row>
    <x:row r="62">
      <x:c r="A62" s="22"/>
      <x:c r="B62" s="22"/>
      <x:c r="C62" s="22"/>
      <x:c r="D62" s="22"/>
      <x:c r="E62" s="24"/>
      <x:c r="F62" s="24"/>
      <x:c r="G62" s="24"/>
      <x:c r="H62" s="24"/>
      <x:c r="I62" s="24"/>
      <x:c r="J62" s="25" t="str">
        <x:f>IF(COUNT(H62:I62)&lt;2,"",I62-H62)</x:f>
      </x:c>
      <x:c r="K62" s="26" t="str">
        <x:f>IF(COUNT(H62:I62)&lt;2,"",IF(I62=0,"n.a.",J62/I62))</x:f>
      </x:c>
      <x:c r="L62" s="26" t="str">
        <x:f>IF(COUNT(E62:F62)&lt;2,"",IF(E62=0,"n.a.",(F62-E62)/E62))</x:f>
      </x:c>
      <x:c r="M62" s="26" t="str">
        <x:f>IF(COUNT(G62:H62)&lt;2,"",IF(G62=0,"n.a.",(H62-G62)/G62))</x:f>
      </x:c>
      <x:c r="N62" s="27" t="str">
        <x:f>IF(A62="","",IF(COUNTIFS(Collections!$B$6:$B$105,A62,Collections!$E$6:$E$105,D62,Collections!$J$6:$J$105,"Incomplete")+COUNTIFS(Collections!$B$6:$B$105,A62,Collections!$E$6:$E$105,D62,Collections!$J$6:$J$105,"Duplicate ID")&gt;0,"Review collections",IF(COUNTIFS(Collections!$B$6:$B$105,A62,Collections!$E$6:$E$105,D62,Collections!$J$6:$J$105,"Counted")=0,"",SUMIFS(Collections!$D$6:$D$105,Collections!$B$6:$B$105,A62,Collections!$E$6:$E$105,D62,Collections!$J$6:$J$105,"Counted"))))</x:f>
      </x:c>
      <x:c r="O62" s="17"/>
      <x:c r="P62" s="17"/>
    </x:row>
    <x:row r="63">
      <x:c r="A63" s="22"/>
      <x:c r="B63" s="22"/>
      <x:c r="C63" s="22"/>
      <x:c r="D63" s="22"/>
      <x:c r="E63" s="24"/>
      <x:c r="F63" s="24"/>
      <x:c r="G63" s="24"/>
      <x:c r="H63" s="24"/>
      <x:c r="I63" s="24"/>
      <x:c r="J63" s="25" t="str">
        <x:f>IF(COUNT(H63:I63)&lt;2,"",I63-H63)</x:f>
      </x:c>
      <x:c r="K63" s="26" t="str">
        <x:f>IF(COUNT(H63:I63)&lt;2,"",IF(I63=0,"n.a.",J63/I63))</x:f>
      </x:c>
      <x:c r="L63" s="26" t="str">
        <x:f>IF(COUNT(E63:F63)&lt;2,"",IF(E63=0,"n.a.",(F63-E63)/E63))</x:f>
      </x:c>
      <x:c r="M63" s="26" t="str">
        <x:f>IF(COUNT(G63:H63)&lt;2,"",IF(G63=0,"n.a.",(H63-G63)/G63))</x:f>
      </x:c>
      <x:c r="N63" s="27" t="str">
        <x:f>IF(A63="","",IF(COUNTIFS(Collections!$B$6:$B$105,A63,Collections!$E$6:$E$105,D63,Collections!$J$6:$J$105,"Incomplete")+COUNTIFS(Collections!$B$6:$B$105,A63,Collections!$E$6:$E$105,D63,Collections!$J$6:$J$105,"Duplicate ID")&gt;0,"Review collections",IF(COUNTIFS(Collections!$B$6:$B$105,A63,Collections!$E$6:$E$105,D63,Collections!$J$6:$J$105,"Counted")=0,"",SUMIFS(Collections!$D$6:$D$105,Collections!$B$6:$B$105,A63,Collections!$E$6:$E$105,D63,Collections!$J$6:$J$105,"Counted"))))</x:f>
      </x:c>
      <x:c r="O63" s="17"/>
      <x:c r="P63" s="17"/>
    </x:row>
    <x:row r="64">
      <x:c r="A64" s="22"/>
      <x:c r="B64" s="22"/>
      <x:c r="C64" s="22"/>
      <x:c r="D64" s="22"/>
      <x:c r="E64" s="24"/>
      <x:c r="F64" s="24"/>
      <x:c r="G64" s="24"/>
      <x:c r="H64" s="24"/>
      <x:c r="I64" s="24"/>
      <x:c r="J64" s="25" t="str">
        <x:f>IF(COUNT(H64:I64)&lt;2,"",I64-H64)</x:f>
      </x:c>
      <x:c r="K64" s="26" t="str">
        <x:f>IF(COUNT(H64:I64)&lt;2,"",IF(I64=0,"n.a.",J64/I64))</x:f>
      </x:c>
      <x:c r="L64" s="26" t="str">
        <x:f>IF(COUNT(E64:F64)&lt;2,"",IF(E64=0,"n.a.",(F64-E64)/E64))</x:f>
      </x:c>
      <x:c r="M64" s="26" t="str">
        <x:f>IF(COUNT(G64:H64)&lt;2,"",IF(G64=0,"n.a.",(H64-G64)/G64))</x:f>
      </x:c>
      <x:c r="N64" s="27" t="str">
        <x:f>IF(A64="","",IF(COUNTIFS(Collections!$B$6:$B$105,A64,Collections!$E$6:$E$105,D64,Collections!$J$6:$J$105,"Incomplete")+COUNTIFS(Collections!$B$6:$B$105,A64,Collections!$E$6:$E$105,D64,Collections!$J$6:$J$105,"Duplicate ID")&gt;0,"Review collections",IF(COUNTIFS(Collections!$B$6:$B$105,A64,Collections!$E$6:$E$105,D64,Collections!$J$6:$J$105,"Counted")=0,"",SUMIFS(Collections!$D$6:$D$105,Collections!$B$6:$B$105,A64,Collections!$E$6:$E$105,D64,Collections!$J$6:$J$105,"Counted"))))</x:f>
      </x:c>
      <x:c r="O64" s="17"/>
      <x:c r="P64" s="17"/>
    </x:row>
    <x:row r="65">
      <x:c r="A65" s="22"/>
      <x:c r="B65" s="22"/>
      <x:c r="C65" s="22"/>
      <x:c r="D65" s="22"/>
      <x:c r="E65" s="24"/>
      <x:c r="F65" s="24"/>
      <x:c r="G65" s="24"/>
      <x:c r="H65" s="24"/>
      <x:c r="I65" s="24"/>
      <x:c r="J65" s="25" t="str">
        <x:f>IF(COUNT(H65:I65)&lt;2,"",I65-H65)</x:f>
      </x:c>
      <x:c r="K65" s="26" t="str">
        <x:f>IF(COUNT(H65:I65)&lt;2,"",IF(I65=0,"n.a.",J65/I65))</x:f>
      </x:c>
      <x:c r="L65" s="26" t="str">
        <x:f>IF(COUNT(E65:F65)&lt;2,"",IF(E65=0,"n.a.",(F65-E65)/E65))</x:f>
      </x:c>
      <x:c r="M65" s="26" t="str">
        <x:f>IF(COUNT(G65:H65)&lt;2,"",IF(G65=0,"n.a.",(H65-G65)/G65))</x:f>
      </x:c>
      <x:c r="N65" s="27" t="str">
        <x:f>IF(A65="","",IF(COUNTIFS(Collections!$B$6:$B$105,A65,Collections!$E$6:$E$105,D65,Collections!$J$6:$J$105,"Incomplete")+COUNTIFS(Collections!$B$6:$B$105,A65,Collections!$E$6:$E$105,D65,Collections!$J$6:$J$105,"Duplicate ID")&gt;0,"Review collections",IF(COUNTIFS(Collections!$B$6:$B$105,A65,Collections!$E$6:$E$105,D65,Collections!$J$6:$J$105,"Counted")=0,"",SUMIFS(Collections!$D$6:$D$105,Collections!$B$6:$B$105,A65,Collections!$E$6:$E$105,D65,Collections!$J$6:$J$105,"Counted"))))</x:f>
      </x:c>
      <x:c r="O65" s="17"/>
      <x:c r="P65" s="17"/>
    </x:row>
    <x:row r="66">
      <x:c r="A66" s="22"/>
      <x:c r="B66" s="22"/>
      <x:c r="C66" s="22"/>
      <x:c r="D66" s="22"/>
      <x:c r="E66" s="24"/>
      <x:c r="F66" s="24"/>
      <x:c r="G66" s="24"/>
      <x:c r="H66" s="24"/>
      <x:c r="I66" s="24"/>
      <x:c r="J66" s="25" t="str">
        <x:f>IF(COUNT(H66:I66)&lt;2,"",I66-H66)</x:f>
      </x:c>
      <x:c r="K66" s="26" t="str">
        <x:f>IF(COUNT(H66:I66)&lt;2,"",IF(I66=0,"n.a.",J66/I66))</x:f>
      </x:c>
      <x:c r="L66" s="26" t="str">
        <x:f>IF(COUNT(E66:F66)&lt;2,"",IF(E66=0,"n.a.",(F66-E66)/E66))</x:f>
      </x:c>
      <x:c r="M66" s="26" t="str">
        <x:f>IF(COUNT(G66:H66)&lt;2,"",IF(G66=0,"n.a.",(H66-G66)/G66))</x:f>
      </x:c>
      <x:c r="N66" s="27" t="str">
        <x:f>IF(A66="","",IF(COUNTIFS(Collections!$B$6:$B$105,A66,Collections!$E$6:$E$105,D66,Collections!$J$6:$J$105,"Incomplete")+COUNTIFS(Collections!$B$6:$B$105,A66,Collections!$E$6:$E$105,D66,Collections!$J$6:$J$105,"Duplicate ID")&gt;0,"Review collections",IF(COUNTIFS(Collections!$B$6:$B$105,A66,Collections!$E$6:$E$105,D66,Collections!$J$6:$J$105,"Counted")=0,"",SUMIFS(Collections!$D$6:$D$105,Collections!$B$6:$B$105,A66,Collections!$E$6:$E$105,D66,Collections!$J$6:$J$105,"Counted"))))</x:f>
      </x:c>
      <x:c r="O66" s="17"/>
      <x:c r="P66" s="17"/>
    </x:row>
    <x:row r="67">
      <x:c r="A67" s="22"/>
      <x:c r="B67" s="22"/>
      <x:c r="C67" s="22"/>
      <x:c r="D67" s="22"/>
      <x:c r="E67" s="24"/>
      <x:c r="F67" s="24"/>
      <x:c r="G67" s="24"/>
      <x:c r="H67" s="24"/>
      <x:c r="I67" s="24"/>
      <x:c r="J67" s="25" t="str">
        <x:f>IF(COUNT(H67:I67)&lt;2,"",I67-H67)</x:f>
      </x:c>
      <x:c r="K67" s="26" t="str">
        <x:f>IF(COUNT(H67:I67)&lt;2,"",IF(I67=0,"n.a.",J67/I67))</x:f>
      </x:c>
      <x:c r="L67" s="26" t="str">
        <x:f>IF(COUNT(E67:F67)&lt;2,"",IF(E67=0,"n.a.",(F67-E67)/E67))</x:f>
      </x:c>
      <x:c r="M67" s="26" t="str">
        <x:f>IF(COUNT(G67:H67)&lt;2,"",IF(G67=0,"n.a.",(H67-G67)/G67))</x:f>
      </x:c>
      <x:c r="N67" s="27" t="str">
        <x:f>IF(A67="","",IF(COUNTIFS(Collections!$B$6:$B$105,A67,Collections!$E$6:$E$105,D67,Collections!$J$6:$J$105,"Incomplete")+COUNTIFS(Collections!$B$6:$B$105,A67,Collections!$E$6:$E$105,D67,Collections!$J$6:$J$105,"Duplicate ID")&gt;0,"Review collections",IF(COUNTIFS(Collections!$B$6:$B$105,A67,Collections!$E$6:$E$105,D67,Collections!$J$6:$J$105,"Counted")=0,"",SUMIFS(Collections!$D$6:$D$105,Collections!$B$6:$B$105,A67,Collections!$E$6:$E$105,D67,Collections!$J$6:$J$105,"Counted"))))</x:f>
      </x:c>
      <x:c r="O67" s="17"/>
      <x:c r="P67" s="17"/>
    </x:row>
    <x:row r="68">
      <x:c r="A68" s="22"/>
      <x:c r="B68" s="22"/>
      <x:c r="C68" s="22"/>
      <x:c r="D68" s="22"/>
      <x:c r="E68" s="24"/>
      <x:c r="F68" s="24"/>
      <x:c r="G68" s="24"/>
      <x:c r="H68" s="24"/>
      <x:c r="I68" s="24"/>
      <x:c r="J68" s="25" t="str">
        <x:f>IF(COUNT(H68:I68)&lt;2,"",I68-H68)</x:f>
      </x:c>
      <x:c r="K68" s="26" t="str">
        <x:f>IF(COUNT(H68:I68)&lt;2,"",IF(I68=0,"n.a.",J68/I68))</x:f>
      </x:c>
      <x:c r="L68" s="26" t="str">
        <x:f>IF(COUNT(E68:F68)&lt;2,"",IF(E68=0,"n.a.",(F68-E68)/E68))</x:f>
      </x:c>
      <x:c r="M68" s="26" t="str">
        <x:f>IF(COUNT(G68:H68)&lt;2,"",IF(G68=0,"n.a.",(H68-G68)/G68))</x:f>
      </x:c>
      <x:c r="N68" s="27" t="str">
        <x:f>IF(A68="","",IF(COUNTIFS(Collections!$B$6:$B$105,A68,Collections!$E$6:$E$105,D68,Collections!$J$6:$J$105,"Incomplete")+COUNTIFS(Collections!$B$6:$B$105,A68,Collections!$E$6:$E$105,D68,Collections!$J$6:$J$105,"Duplicate ID")&gt;0,"Review collections",IF(COUNTIFS(Collections!$B$6:$B$105,A68,Collections!$E$6:$E$105,D68,Collections!$J$6:$J$105,"Counted")=0,"",SUMIFS(Collections!$D$6:$D$105,Collections!$B$6:$B$105,A68,Collections!$E$6:$E$105,D68,Collections!$J$6:$J$105,"Counted"))))</x:f>
      </x:c>
      <x:c r="O68" s="17"/>
      <x:c r="P68" s="17"/>
    </x:row>
    <x:row r="69">
      <x:c r="A69" s="22"/>
      <x:c r="B69" s="22"/>
      <x:c r="C69" s="22"/>
      <x:c r="D69" s="22"/>
      <x:c r="E69" s="24"/>
      <x:c r="F69" s="24"/>
      <x:c r="G69" s="24"/>
      <x:c r="H69" s="24"/>
      <x:c r="I69" s="24"/>
      <x:c r="J69" s="25" t="str">
        <x:f>IF(COUNT(H69:I69)&lt;2,"",I69-H69)</x:f>
      </x:c>
      <x:c r="K69" s="26" t="str">
        <x:f>IF(COUNT(H69:I69)&lt;2,"",IF(I69=0,"n.a.",J69/I69))</x:f>
      </x:c>
      <x:c r="L69" s="26" t="str">
        <x:f>IF(COUNT(E69:F69)&lt;2,"",IF(E69=0,"n.a.",(F69-E69)/E69))</x:f>
      </x:c>
      <x:c r="M69" s="26" t="str">
        <x:f>IF(COUNT(G69:H69)&lt;2,"",IF(G69=0,"n.a.",(H69-G69)/G69))</x:f>
      </x:c>
      <x:c r="N69" s="27" t="str">
        <x:f>IF(A69="","",IF(COUNTIFS(Collections!$B$6:$B$105,A69,Collections!$E$6:$E$105,D69,Collections!$J$6:$J$105,"Incomplete")+COUNTIFS(Collections!$B$6:$B$105,A69,Collections!$E$6:$E$105,D69,Collections!$J$6:$J$105,"Duplicate ID")&gt;0,"Review collections",IF(COUNTIFS(Collections!$B$6:$B$105,A69,Collections!$E$6:$E$105,D69,Collections!$J$6:$J$105,"Counted")=0,"",SUMIFS(Collections!$D$6:$D$105,Collections!$B$6:$B$105,A69,Collections!$E$6:$E$105,D69,Collections!$J$6:$J$105,"Counted"))))</x:f>
      </x:c>
      <x:c r="O69" s="17"/>
      <x:c r="P69" s="17"/>
    </x:row>
    <x:row r="70">
      <x:c r="A70" s="22"/>
      <x:c r="B70" s="22"/>
      <x:c r="C70" s="22"/>
      <x:c r="D70" s="22"/>
      <x:c r="E70" s="24"/>
      <x:c r="F70" s="24"/>
      <x:c r="G70" s="24"/>
      <x:c r="H70" s="24"/>
      <x:c r="I70" s="24"/>
      <x:c r="J70" s="25" t="str">
        <x:f>IF(COUNT(H70:I70)&lt;2,"",I70-H70)</x:f>
      </x:c>
      <x:c r="K70" s="26" t="str">
        <x:f>IF(COUNT(H70:I70)&lt;2,"",IF(I70=0,"n.a.",J70/I70))</x:f>
      </x:c>
      <x:c r="L70" s="26" t="str">
        <x:f>IF(COUNT(E70:F70)&lt;2,"",IF(E70=0,"n.a.",(F70-E70)/E70))</x:f>
      </x:c>
      <x:c r="M70" s="26" t="str">
        <x:f>IF(COUNT(G70:H70)&lt;2,"",IF(G70=0,"n.a.",(H70-G70)/G70))</x:f>
      </x:c>
      <x:c r="N70" s="27" t="str">
        <x:f>IF(A70="","",IF(COUNTIFS(Collections!$B$6:$B$105,A70,Collections!$E$6:$E$105,D70,Collections!$J$6:$J$105,"Incomplete")+COUNTIFS(Collections!$B$6:$B$105,A70,Collections!$E$6:$E$105,D70,Collections!$J$6:$J$105,"Duplicate ID")&gt;0,"Review collections",IF(COUNTIFS(Collections!$B$6:$B$105,A70,Collections!$E$6:$E$105,D70,Collections!$J$6:$J$105,"Counted")=0,"",SUMIFS(Collections!$D$6:$D$105,Collections!$B$6:$B$105,A70,Collections!$E$6:$E$105,D70,Collections!$J$6:$J$105,"Counted"))))</x:f>
      </x:c>
      <x:c r="O70" s="17"/>
      <x:c r="P70" s="17"/>
    </x:row>
    <x:row r="71">
      <x:c r="A71" s="22"/>
      <x:c r="B71" s="22"/>
      <x:c r="C71" s="22"/>
      <x:c r="D71" s="22"/>
      <x:c r="E71" s="24"/>
      <x:c r="F71" s="24"/>
      <x:c r="G71" s="24"/>
      <x:c r="H71" s="24"/>
      <x:c r="I71" s="24"/>
      <x:c r="J71" s="25" t="str">
        <x:f>IF(COUNT(H71:I71)&lt;2,"",I71-H71)</x:f>
      </x:c>
      <x:c r="K71" s="26" t="str">
        <x:f>IF(COUNT(H71:I71)&lt;2,"",IF(I71=0,"n.a.",J71/I71))</x:f>
      </x:c>
      <x:c r="L71" s="26" t="str">
        <x:f>IF(COUNT(E71:F71)&lt;2,"",IF(E71=0,"n.a.",(F71-E71)/E71))</x:f>
      </x:c>
      <x:c r="M71" s="26" t="str">
        <x:f>IF(COUNT(G71:H71)&lt;2,"",IF(G71=0,"n.a.",(H71-G71)/G71))</x:f>
      </x:c>
      <x:c r="N71" s="27" t="str">
        <x:f>IF(A71="","",IF(COUNTIFS(Collections!$B$6:$B$105,A71,Collections!$E$6:$E$105,D71,Collections!$J$6:$J$105,"Incomplete")+COUNTIFS(Collections!$B$6:$B$105,A71,Collections!$E$6:$E$105,D71,Collections!$J$6:$J$105,"Duplicate ID")&gt;0,"Review collections",IF(COUNTIFS(Collections!$B$6:$B$105,A71,Collections!$E$6:$E$105,D71,Collections!$J$6:$J$105,"Counted")=0,"",SUMIFS(Collections!$D$6:$D$105,Collections!$B$6:$B$105,A71,Collections!$E$6:$E$105,D71,Collections!$J$6:$J$105,"Counted"))))</x:f>
      </x:c>
      <x:c r="O71" s="17"/>
      <x:c r="P71" s="17"/>
    </x:row>
    <x:row r="72">
      <x:c r="A72" s="22"/>
      <x:c r="B72" s="22"/>
      <x:c r="C72" s="22"/>
      <x:c r="D72" s="22"/>
      <x:c r="E72" s="24"/>
      <x:c r="F72" s="24"/>
      <x:c r="G72" s="24"/>
      <x:c r="H72" s="24"/>
      <x:c r="I72" s="24"/>
      <x:c r="J72" s="25" t="str">
        <x:f>IF(COUNT(H72:I72)&lt;2,"",I72-H72)</x:f>
      </x:c>
      <x:c r="K72" s="26" t="str">
        <x:f>IF(COUNT(H72:I72)&lt;2,"",IF(I72=0,"n.a.",J72/I72))</x:f>
      </x:c>
      <x:c r="L72" s="26" t="str">
        <x:f>IF(COUNT(E72:F72)&lt;2,"",IF(E72=0,"n.a.",(F72-E72)/E72))</x:f>
      </x:c>
      <x:c r="M72" s="26" t="str">
        <x:f>IF(COUNT(G72:H72)&lt;2,"",IF(G72=0,"n.a.",(H72-G72)/G72))</x:f>
      </x:c>
      <x:c r="N72" s="27" t="str">
        <x:f>IF(A72="","",IF(COUNTIFS(Collections!$B$6:$B$105,A72,Collections!$E$6:$E$105,D72,Collections!$J$6:$J$105,"Incomplete")+COUNTIFS(Collections!$B$6:$B$105,A72,Collections!$E$6:$E$105,D72,Collections!$J$6:$J$105,"Duplicate ID")&gt;0,"Review collections",IF(COUNTIFS(Collections!$B$6:$B$105,A72,Collections!$E$6:$E$105,D72,Collections!$J$6:$J$105,"Counted")=0,"",SUMIFS(Collections!$D$6:$D$105,Collections!$B$6:$B$105,A72,Collections!$E$6:$E$105,D72,Collections!$J$6:$J$105,"Counted"))))</x:f>
      </x:c>
      <x:c r="O72" s="17"/>
      <x:c r="P72" s="17"/>
    </x:row>
    <x:row r="73">
      <x:c r="A73" s="22"/>
      <x:c r="B73" s="22"/>
      <x:c r="C73" s="22"/>
      <x:c r="D73" s="22"/>
      <x:c r="E73" s="24"/>
      <x:c r="F73" s="24"/>
      <x:c r="G73" s="24"/>
      <x:c r="H73" s="24"/>
      <x:c r="I73" s="24"/>
      <x:c r="J73" s="25" t="str">
        <x:f>IF(COUNT(H73:I73)&lt;2,"",I73-H73)</x:f>
      </x:c>
      <x:c r="K73" s="26" t="str">
        <x:f>IF(COUNT(H73:I73)&lt;2,"",IF(I73=0,"n.a.",J73/I73))</x:f>
      </x:c>
      <x:c r="L73" s="26" t="str">
        <x:f>IF(COUNT(E73:F73)&lt;2,"",IF(E73=0,"n.a.",(F73-E73)/E73))</x:f>
      </x:c>
      <x:c r="M73" s="26" t="str">
        <x:f>IF(COUNT(G73:H73)&lt;2,"",IF(G73=0,"n.a.",(H73-G73)/G73))</x:f>
      </x:c>
      <x:c r="N73" s="27" t="str">
        <x:f>IF(A73="","",IF(COUNTIFS(Collections!$B$6:$B$105,A73,Collections!$E$6:$E$105,D73,Collections!$J$6:$J$105,"Incomplete")+COUNTIFS(Collections!$B$6:$B$105,A73,Collections!$E$6:$E$105,D73,Collections!$J$6:$J$105,"Duplicate ID")&gt;0,"Review collections",IF(COUNTIFS(Collections!$B$6:$B$105,A73,Collections!$E$6:$E$105,D73,Collections!$J$6:$J$105,"Counted")=0,"",SUMIFS(Collections!$D$6:$D$105,Collections!$B$6:$B$105,A73,Collections!$E$6:$E$105,D73,Collections!$J$6:$J$105,"Counted"))))</x:f>
      </x:c>
      <x:c r="O73" s="17"/>
      <x:c r="P73" s="17"/>
    </x:row>
    <x:row r="74">
      <x:c r="A74" s="22"/>
      <x:c r="B74" s="22"/>
      <x:c r="C74" s="22"/>
      <x:c r="D74" s="22"/>
      <x:c r="E74" s="24"/>
      <x:c r="F74" s="24"/>
      <x:c r="G74" s="24"/>
      <x:c r="H74" s="24"/>
      <x:c r="I74" s="24"/>
      <x:c r="J74" s="25" t="str">
        <x:f>IF(COUNT(H74:I74)&lt;2,"",I74-H74)</x:f>
      </x:c>
      <x:c r="K74" s="26" t="str">
        <x:f>IF(COUNT(H74:I74)&lt;2,"",IF(I74=0,"n.a.",J74/I74))</x:f>
      </x:c>
      <x:c r="L74" s="26" t="str">
        <x:f>IF(COUNT(E74:F74)&lt;2,"",IF(E74=0,"n.a.",(F74-E74)/E74))</x:f>
      </x:c>
      <x:c r="M74" s="26" t="str">
        <x:f>IF(COUNT(G74:H74)&lt;2,"",IF(G74=0,"n.a.",(H74-G74)/G74))</x:f>
      </x:c>
      <x:c r="N74" s="27" t="str">
        <x:f>IF(A74="","",IF(COUNTIFS(Collections!$B$6:$B$105,A74,Collections!$E$6:$E$105,D74,Collections!$J$6:$J$105,"Incomplete")+COUNTIFS(Collections!$B$6:$B$105,A74,Collections!$E$6:$E$105,D74,Collections!$J$6:$J$105,"Duplicate ID")&gt;0,"Review collections",IF(COUNTIFS(Collections!$B$6:$B$105,A74,Collections!$E$6:$E$105,D74,Collections!$J$6:$J$105,"Counted")=0,"",SUMIFS(Collections!$D$6:$D$105,Collections!$B$6:$B$105,A74,Collections!$E$6:$E$105,D74,Collections!$J$6:$J$105,"Counted"))))</x:f>
      </x:c>
      <x:c r="O74" s="17"/>
      <x:c r="P74" s="17"/>
    </x:row>
    <x:row r="75">
      <x:c r="A75" s="22"/>
      <x:c r="B75" s="22"/>
      <x:c r="C75" s="22"/>
      <x:c r="D75" s="22"/>
      <x:c r="E75" s="24"/>
      <x:c r="F75" s="24"/>
      <x:c r="G75" s="24"/>
      <x:c r="H75" s="24"/>
      <x:c r="I75" s="24"/>
      <x:c r="J75" s="25" t="str">
        <x:f>IF(COUNT(H75:I75)&lt;2,"",I75-H75)</x:f>
      </x:c>
      <x:c r="K75" s="26" t="str">
        <x:f>IF(COUNT(H75:I75)&lt;2,"",IF(I75=0,"n.a.",J75/I75))</x:f>
      </x:c>
      <x:c r="L75" s="26" t="str">
        <x:f>IF(COUNT(E75:F75)&lt;2,"",IF(E75=0,"n.a.",(F75-E75)/E75))</x:f>
      </x:c>
      <x:c r="M75" s="26" t="str">
        <x:f>IF(COUNT(G75:H75)&lt;2,"",IF(G75=0,"n.a.",(H75-G75)/G75))</x:f>
      </x:c>
      <x:c r="N75" s="27" t="str">
        <x:f>IF(A75="","",IF(COUNTIFS(Collections!$B$6:$B$105,A75,Collections!$E$6:$E$105,D75,Collections!$J$6:$J$105,"Incomplete")+COUNTIFS(Collections!$B$6:$B$105,A75,Collections!$E$6:$E$105,D75,Collections!$J$6:$J$105,"Duplicate ID")&gt;0,"Review collections",IF(COUNTIFS(Collections!$B$6:$B$105,A75,Collections!$E$6:$E$105,D75,Collections!$J$6:$J$105,"Counted")=0,"",SUMIFS(Collections!$D$6:$D$105,Collections!$B$6:$B$105,A75,Collections!$E$6:$E$105,D75,Collections!$J$6:$J$105,"Counted"))))</x:f>
      </x:c>
      <x:c r="O75" s="17"/>
      <x:c r="P75" s="17"/>
    </x:row>
    <x:row r="76">
      <x:c r="A76" s="22"/>
      <x:c r="B76" s="22"/>
      <x:c r="C76" s="22"/>
      <x:c r="D76" s="22"/>
      <x:c r="E76" s="24"/>
      <x:c r="F76" s="24"/>
      <x:c r="G76" s="24"/>
      <x:c r="H76" s="24"/>
      <x:c r="I76" s="24"/>
      <x:c r="J76" s="25" t="str">
        <x:f>IF(COUNT(H76:I76)&lt;2,"",I76-H76)</x:f>
      </x:c>
      <x:c r="K76" s="26" t="str">
        <x:f>IF(COUNT(H76:I76)&lt;2,"",IF(I76=0,"n.a.",J76/I76))</x:f>
      </x:c>
      <x:c r="L76" s="26" t="str">
        <x:f>IF(COUNT(E76:F76)&lt;2,"",IF(E76=0,"n.a.",(F76-E76)/E76))</x:f>
      </x:c>
      <x:c r="M76" s="26" t="str">
        <x:f>IF(COUNT(G76:H76)&lt;2,"",IF(G76=0,"n.a.",(H76-G76)/G76))</x:f>
      </x:c>
      <x:c r="N76" s="27" t="str">
        <x:f>IF(A76="","",IF(COUNTIFS(Collections!$B$6:$B$105,A76,Collections!$E$6:$E$105,D76,Collections!$J$6:$J$105,"Incomplete")+COUNTIFS(Collections!$B$6:$B$105,A76,Collections!$E$6:$E$105,D76,Collections!$J$6:$J$105,"Duplicate ID")&gt;0,"Review collections",IF(COUNTIFS(Collections!$B$6:$B$105,A76,Collections!$E$6:$E$105,D76,Collections!$J$6:$J$105,"Counted")=0,"",SUMIFS(Collections!$D$6:$D$105,Collections!$B$6:$B$105,A76,Collections!$E$6:$E$105,D76,Collections!$J$6:$J$105,"Counted"))))</x:f>
      </x:c>
      <x:c r="O76" s="17"/>
      <x:c r="P76" s="17"/>
    </x:row>
    <x:row r="77">
      <x:c r="A77" s="22"/>
      <x:c r="B77" s="22"/>
      <x:c r="C77" s="22"/>
      <x:c r="D77" s="22"/>
      <x:c r="E77" s="24"/>
      <x:c r="F77" s="24"/>
      <x:c r="G77" s="24"/>
      <x:c r="H77" s="24"/>
      <x:c r="I77" s="24"/>
      <x:c r="J77" s="25" t="str">
        <x:f>IF(COUNT(H77:I77)&lt;2,"",I77-H77)</x:f>
      </x:c>
      <x:c r="K77" s="26" t="str">
        <x:f>IF(COUNT(H77:I77)&lt;2,"",IF(I77=0,"n.a.",J77/I77))</x:f>
      </x:c>
      <x:c r="L77" s="26" t="str">
        <x:f>IF(COUNT(E77:F77)&lt;2,"",IF(E77=0,"n.a.",(F77-E77)/E77))</x:f>
      </x:c>
      <x:c r="M77" s="26" t="str">
        <x:f>IF(COUNT(G77:H77)&lt;2,"",IF(G77=0,"n.a.",(H77-G77)/G77))</x:f>
      </x:c>
      <x:c r="N77" s="27" t="str">
        <x:f>IF(A77="","",IF(COUNTIFS(Collections!$B$6:$B$105,A77,Collections!$E$6:$E$105,D77,Collections!$J$6:$J$105,"Incomplete")+COUNTIFS(Collections!$B$6:$B$105,A77,Collections!$E$6:$E$105,D77,Collections!$J$6:$J$105,"Duplicate ID")&gt;0,"Review collections",IF(COUNTIFS(Collections!$B$6:$B$105,A77,Collections!$E$6:$E$105,D77,Collections!$J$6:$J$105,"Counted")=0,"",SUMIFS(Collections!$D$6:$D$105,Collections!$B$6:$B$105,A77,Collections!$E$6:$E$105,D77,Collections!$J$6:$J$105,"Counted"))))</x:f>
      </x:c>
      <x:c r="O77" s="17"/>
      <x:c r="P77" s="17"/>
    </x:row>
    <x:row r="78">
      <x:c r="A78" s="22"/>
      <x:c r="B78" s="22"/>
      <x:c r="C78" s="22"/>
      <x:c r="D78" s="22"/>
      <x:c r="E78" s="24"/>
      <x:c r="F78" s="24"/>
      <x:c r="G78" s="24"/>
      <x:c r="H78" s="24"/>
      <x:c r="I78" s="24"/>
      <x:c r="J78" s="25" t="str">
        <x:f>IF(COUNT(H78:I78)&lt;2,"",I78-H78)</x:f>
      </x:c>
      <x:c r="K78" s="26" t="str">
        <x:f>IF(COUNT(H78:I78)&lt;2,"",IF(I78=0,"n.a.",J78/I78))</x:f>
      </x:c>
      <x:c r="L78" s="26" t="str">
        <x:f>IF(COUNT(E78:F78)&lt;2,"",IF(E78=0,"n.a.",(F78-E78)/E78))</x:f>
      </x:c>
      <x:c r="M78" s="26" t="str">
        <x:f>IF(COUNT(G78:H78)&lt;2,"",IF(G78=0,"n.a.",(H78-G78)/G78))</x:f>
      </x:c>
      <x:c r="N78" s="27" t="str">
        <x:f>IF(A78="","",IF(COUNTIFS(Collections!$B$6:$B$105,A78,Collections!$E$6:$E$105,D78,Collections!$J$6:$J$105,"Incomplete")+COUNTIFS(Collections!$B$6:$B$105,A78,Collections!$E$6:$E$105,D78,Collections!$J$6:$J$105,"Duplicate ID")&gt;0,"Review collections",IF(COUNTIFS(Collections!$B$6:$B$105,A78,Collections!$E$6:$E$105,D78,Collections!$J$6:$J$105,"Counted")=0,"",SUMIFS(Collections!$D$6:$D$105,Collections!$B$6:$B$105,A78,Collections!$E$6:$E$105,D78,Collections!$J$6:$J$105,"Counted"))))</x:f>
      </x:c>
      <x:c r="O78" s="17"/>
      <x:c r="P78" s="17"/>
    </x:row>
    <x:row r="79">
      <x:c r="A79" s="22"/>
      <x:c r="B79" s="22"/>
      <x:c r="C79" s="22"/>
      <x:c r="D79" s="22"/>
      <x:c r="E79" s="24"/>
      <x:c r="F79" s="24"/>
      <x:c r="G79" s="24"/>
      <x:c r="H79" s="24"/>
      <x:c r="I79" s="24"/>
      <x:c r="J79" s="25" t="str">
        <x:f>IF(COUNT(H79:I79)&lt;2,"",I79-H79)</x:f>
      </x:c>
      <x:c r="K79" s="26" t="str">
        <x:f>IF(COUNT(H79:I79)&lt;2,"",IF(I79=0,"n.a.",J79/I79))</x:f>
      </x:c>
      <x:c r="L79" s="26" t="str">
        <x:f>IF(COUNT(E79:F79)&lt;2,"",IF(E79=0,"n.a.",(F79-E79)/E79))</x:f>
      </x:c>
      <x:c r="M79" s="26" t="str">
        <x:f>IF(COUNT(G79:H79)&lt;2,"",IF(G79=0,"n.a.",(H79-G79)/G79))</x:f>
      </x:c>
      <x:c r="N79" s="27" t="str">
        <x:f>IF(A79="","",IF(COUNTIFS(Collections!$B$6:$B$105,A79,Collections!$E$6:$E$105,D79,Collections!$J$6:$J$105,"Incomplete")+COUNTIFS(Collections!$B$6:$B$105,A79,Collections!$E$6:$E$105,D79,Collections!$J$6:$J$105,"Duplicate ID")&gt;0,"Review collections",IF(COUNTIFS(Collections!$B$6:$B$105,A79,Collections!$E$6:$E$105,D79,Collections!$J$6:$J$105,"Counted")=0,"",SUMIFS(Collections!$D$6:$D$105,Collections!$B$6:$B$105,A79,Collections!$E$6:$E$105,D79,Collections!$J$6:$J$105,"Counted"))))</x:f>
      </x:c>
      <x:c r="O79" s="17"/>
      <x:c r="P79" s="17"/>
    </x:row>
    <x:row r="80">
      <x:c r="A80" s="22"/>
      <x:c r="B80" s="22"/>
      <x:c r="C80" s="22"/>
      <x:c r="D80" s="22"/>
      <x:c r="E80" s="24"/>
      <x:c r="F80" s="24"/>
      <x:c r="G80" s="24"/>
      <x:c r="H80" s="24"/>
      <x:c r="I80" s="24"/>
      <x:c r="J80" s="25" t="str">
        <x:f>IF(COUNT(H80:I80)&lt;2,"",I80-H80)</x:f>
      </x:c>
      <x:c r="K80" s="26" t="str">
        <x:f>IF(COUNT(H80:I80)&lt;2,"",IF(I80=0,"n.a.",J80/I80))</x:f>
      </x:c>
      <x:c r="L80" s="26" t="str">
        <x:f>IF(COUNT(E80:F80)&lt;2,"",IF(E80=0,"n.a.",(F80-E80)/E80))</x:f>
      </x:c>
      <x:c r="M80" s="26" t="str">
        <x:f>IF(COUNT(G80:H80)&lt;2,"",IF(G80=0,"n.a.",(H80-G80)/G80))</x:f>
      </x:c>
      <x:c r="N80" s="27" t="str">
        <x:f>IF(A80="","",IF(COUNTIFS(Collections!$B$6:$B$105,A80,Collections!$E$6:$E$105,D80,Collections!$J$6:$J$105,"Incomplete")+COUNTIFS(Collections!$B$6:$B$105,A80,Collections!$E$6:$E$105,D80,Collections!$J$6:$J$105,"Duplicate ID")&gt;0,"Review collections",IF(COUNTIFS(Collections!$B$6:$B$105,A80,Collections!$E$6:$E$105,D80,Collections!$J$6:$J$105,"Counted")=0,"",SUMIFS(Collections!$D$6:$D$105,Collections!$B$6:$B$105,A80,Collections!$E$6:$E$105,D80,Collections!$J$6:$J$105,"Counted"))))</x:f>
      </x:c>
      <x:c r="O80" s="17"/>
      <x:c r="P80" s="17"/>
    </x:row>
    <x:row r="81">
      <x:c r="A81" s="22"/>
      <x:c r="B81" s="22"/>
      <x:c r="C81" s="22"/>
      <x:c r="D81" s="22"/>
      <x:c r="E81" s="24"/>
      <x:c r="F81" s="24"/>
      <x:c r="G81" s="24"/>
      <x:c r="H81" s="24"/>
      <x:c r="I81" s="24"/>
      <x:c r="J81" s="25" t="str">
        <x:f>IF(COUNT(H81:I81)&lt;2,"",I81-H81)</x:f>
      </x:c>
      <x:c r="K81" s="26" t="str">
        <x:f>IF(COUNT(H81:I81)&lt;2,"",IF(I81=0,"n.a.",J81/I81))</x:f>
      </x:c>
      <x:c r="L81" s="26" t="str">
        <x:f>IF(COUNT(E81:F81)&lt;2,"",IF(E81=0,"n.a.",(F81-E81)/E81))</x:f>
      </x:c>
      <x:c r="M81" s="26" t="str">
        <x:f>IF(COUNT(G81:H81)&lt;2,"",IF(G81=0,"n.a.",(H81-G81)/G81))</x:f>
      </x:c>
      <x:c r="N81" s="27" t="str">
        <x:f>IF(A81="","",IF(COUNTIFS(Collections!$B$6:$B$105,A81,Collections!$E$6:$E$105,D81,Collections!$J$6:$J$105,"Incomplete")+COUNTIFS(Collections!$B$6:$B$105,A81,Collections!$E$6:$E$105,D81,Collections!$J$6:$J$105,"Duplicate ID")&gt;0,"Review collections",IF(COUNTIFS(Collections!$B$6:$B$105,A81,Collections!$E$6:$E$105,D81,Collections!$J$6:$J$105,"Counted")=0,"",SUMIFS(Collections!$D$6:$D$105,Collections!$B$6:$B$105,A81,Collections!$E$6:$E$105,D81,Collections!$J$6:$J$105,"Counted"))))</x:f>
      </x:c>
      <x:c r="O81" s="17"/>
      <x:c r="P81" s="17"/>
    </x:row>
    <x:row r="82">
      <x:c r="A82" s="22"/>
      <x:c r="B82" s="22"/>
      <x:c r="C82" s="22"/>
      <x:c r="D82" s="22"/>
      <x:c r="E82" s="24"/>
      <x:c r="F82" s="24"/>
      <x:c r="G82" s="24"/>
      <x:c r="H82" s="24"/>
      <x:c r="I82" s="24"/>
      <x:c r="J82" s="25" t="str">
        <x:f>IF(COUNT(H82:I82)&lt;2,"",I82-H82)</x:f>
      </x:c>
      <x:c r="K82" s="26" t="str">
        <x:f>IF(COUNT(H82:I82)&lt;2,"",IF(I82=0,"n.a.",J82/I82))</x:f>
      </x:c>
      <x:c r="L82" s="26" t="str">
        <x:f>IF(COUNT(E82:F82)&lt;2,"",IF(E82=0,"n.a.",(F82-E82)/E82))</x:f>
      </x:c>
      <x:c r="M82" s="26" t="str">
        <x:f>IF(COUNT(G82:H82)&lt;2,"",IF(G82=0,"n.a.",(H82-G82)/G82))</x:f>
      </x:c>
      <x:c r="N82" s="27" t="str">
        <x:f>IF(A82="","",IF(COUNTIFS(Collections!$B$6:$B$105,A82,Collections!$E$6:$E$105,D82,Collections!$J$6:$J$105,"Incomplete")+COUNTIFS(Collections!$B$6:$B$105,A82,Collections!$E$6:$E$105,D82,Collections!$J$6:$J$105,"Duplicate ID")&gt;0,"Review collections",IF(COUNTIFS(Collections!$B$6:$B$105,A82,Collections!$E$6:$E$105,D82,Collections!$J$6:$J$105,"Counted")=0,"",SUMIFS(Collections!$D$6:$D$105,Collections!$B$6:$B$105,A82,Collections!$E$6:$E$105,D82,Collections!$J$6:$J$105,"Counted"))))</x:f>
      </x:c>
      <x:c r="O82" s="17"/>
      <x:c r="P82" s="17"/>
    </x:row>
    <x:row r="83">
      <x:c r="A83" s="22"/>
      <x:c r="B83" s="22"/>
      <x:c r="C83" s="22"/>
      <x:c r="D83" s="22"/>
      <x:c r="E83" s="24"/>
      <x:c r="F83" s="24"/>
      <x:c r="G83" s="24"/>
      <x:c r="H83" s="24"/>
      <x:c r="I83" s="24"/>
      <x:c r="J83" s="25" t="str">
        <x:f>IF(COUNT(H83:I83)&lt;2,"",I83-H83)</x:f>
      </x:c>
      <x:c r="K83" s="26" t="str">
        <x:f>IF(COUNT(H83:I83)&lt;2,"",IF(I83=0,"n.a.",J83/I83))</x:f>
      </x:c>
      <x:c r="L83" s="26" t="str">
        <x:f>IF(COUNT(E83:F83)&lt;2,"",IF(E83=0,"n.a.",(F83-E83)/E83))</x:f>
      </x:c>
      <x:c r="M83" s="26" t="str">
        <x:f>IF(COUNT(G83:H83)&lt;2,"",IF(G83=0,"n.a.",(H83-G83)/G83))</x:f>
      </x:c>
      <x:c r="N83" s="27" t="str">
        <x:f>IF(A83="","",IF(COUNTIFS(Collections!$B$6:$B$105,A83,Collections!$E$6:$E$105,D83,Collections!$J$6:$J$105,"Incomplete")+COUNTIFS(Collections!$B$6:$B$105,A83,Collections!$E$6:$E$105,D83,Collections!$J$6:$J$105,"Duplicate ID")&gt;0,"Review collections",IF(COUNTIFS(Collections!$B$6:$B$105,A83,Collections!$E$6:$E$105,D83,Collections!$J$6:$J$105,"Counted")=0,"",SUMIFS(Collections!$D$6:$D$105,Collections!$B$6:$B$105,A83,Collections!$E$6:$E$105,D83,Collections!$J$6:$J$105,"Counted"))))</x:f>
      </x:c>
      <x:c r="O83" s="17"/>
      <x:c r="P83" s="17"/>
    </x:row>
    <x:row r="84">
      <x:c r="A84" s="22"/>
      <x:c r="B84" s="22"/>
      <x:c r="C84" s="22"/>
      <x:c r="D84" s="22"/>
      <x:c r="E84" s="24"/>
      <x:c r="F84" s="24"/>
      <x:c r="G84" s="24"/>
      <x:c r="H84" s="24"/>
      <x:c r="I84" s="24"/>
      <x:c r="J84" s="25" t="str">
        <x:f>IF(COUNT(H84:I84)&lt;2,"",I84-H84)</x:f>
      </x:c>
      <x:c r="K84" s="26" t="str">
        <x:f>IF(COUNT(H84:I84)&lt;2,"",IF(I84=0,"n.a.",J84/I84))</x:f>
      </x:c>
      <x:c r="L84" s="26" t="str">
        <x:f>IF(COUNT(E84:F84)&lt;2,"",IF(E84=0,"n.a.",(F84-E84)/E84))</x:f>
      </x:c>
      <x:c r="M84" s="26" t="str">
        <x:f>IF(COUNT(G84:H84)&lt;2,"",IF(G84=0,"n.a.",(H84-G84)/G84))</x:f>
      </x:c>
      <x:c r="N84" s="27" t="str">
        <x:f>IF(A84="","",IF(COUNTIFS(Collections!$B$6:$B$105,A84,Collections!$E$6:$E$105,D84,Collections!$J$6:$J$105,"Incomplete")+COUNTIFS(Collections!$B$6:$B$105,A84,Collections!$E$6:$E$105,D84,Collections!$J$6:$J$105,"Duplicate ID")&gt;0,"Review collections",IF(COUNTIFS(Collections!$B$6:$B$105,A84,Collections!$E$6:$E$105,D84,Collections!$J$6:$J$105,"Counted")=0,"",SUMIFS(Collections!$D$6:$D$105,Collections!$B$6:$B$105,A84,Collections!$E$6:$E$105,D84,Collections!$J$6:$J$105,"Counted"))))</x:f>
      </x:c>
      <x:c r="O84" s="17"/>
      <x:c r="P84" s="17"/>
    </x:row>
    <x:row r="85">
      <x:c r="A85" s="22"/>
      <x:c r="B85" s="22"/>
      <x:c r="C85" s="22"/>
      <x:c r="D85" s="22"/>
      <x:c r="E85" s="24"/>
      <x:c r="F85" s="24"/>
      <x:c r="G85" s="24"/>
      <x:c r="H85" s="24"/>
      <x:c r="I85" s="24"/>
      <x:c r="J85" s="25" t="str">
        <x:f>IF(COUNT(H85:I85)&lt;2,"",I85-H85)</x:f>
      </x:c>
      <x:c r="K85" s="26" t="str">
        <x:f>IF(COUNT(H85:I85)&lt;2,"",IF(I85=0,"n.a.",J85/I85))</x:f>
      </x:c>
      <x:c r="L85" s="26" t="str">
        <x:f>IF(COUNT(E85:F85)&lt;2,"",IF(E85=0,"n.a.",(F85-E85)/E85))</x:f>
      </x:c>
      <x:c r="M85" s="26" t="str">
        <x:f>IF(COUNT(G85:H85)&lt;2,"",IF(G85=0,"n.a.",(H85-G85)/G85))</x:f>
      </x:c>
      <x:c r="N85" s="27" t="str">
        <x:f>IF(A85="","",IF(COUNTIFS(Collections!$B$6:$B$105,A85,Collections!$E$6:$E$105,D85,Collections!$J$6:$J$105,"Incomplete")+COUNTIFS(Collections!$B$6:$B$105,A85,Collections!$E$6:$E$105,D85,Collections!$J$6:$J$105,"Duplicate ID")&gt;0,"Review collections",IF(COUNTIFS(Collections!$B$6:$B$105,A85,Collections!$E$6:$E$105,D85,Collections!$J$6:$J$105,"Counted")=0,"",SUMIFS(Collections!$D$6:$D$105,Collections!$B$6:$B$105,A85,Collections!$E$6:$E$105,D85,Collections!$J$6:$J$105,"Counted"))))</x:f>
      </x:c>
      <x:c r="O85" s="17"/>
      <x:c r="P85" s="17"/>
    </x:row>
    <x:row r="86">
      <x:c r="A86" s="22"/>
      <x:c r="B86" s="22"/>
      <x:c r="C86" s="22"/>
      <x:c r="D86" s="22"/>
      <x:c r="E86" s="24"/>
      <x:c r="F86" s="24"/>
      <x:c r="G86" s="24"/>
      <x:c r="H86" s="24"/>
      <x:c r="I86" s="24"/>
      <x:c r="J86" s="25" t="str">
        <x:f>IF(COUNT(H86:I86)&lt;2,"",I86-H86)</x:f>
      </x:c>
      <x:c r="K86" s="26" t="str">
        <x:f>IF(COUNT(H86:I86)&lt;2,"",IF(I86=0,"n.a.",J86/I86))</x:f>
      </x:c>
      <x:c r="L86" s="26" t="str">
        <x:f>IF(COUNT(E86:F86)&lt;2,"",IF(E86=0,"n.a.",(F86-E86)/E86))</x:f>
      </x:c>
      <x:c r="M86" s="26" t="str">
        <x:f>IF(COUNT(G86:H86)&lt;2,"",IF(G86=0,"n.a.",(H86-G86)/G86))</x:f>
      </x:c>
      <x:c r="N86" s="27" t="str">
        <x:f>IF(A86="","",IF(COUNTIFS(Collections!$B$6:$B$105,A86,Collections!$E$6:$E$105,D86,Collections!$J$6:$J$105,"Incomplete")+COUNTIFS(Collections!$B$6:$B$105,A86,Collections!$E$6:$E$105,D86,Collections!$J$6:$J$105,"Duplicate ID")&gt;0,"Review collections",IF(COUNTIFS(Collections!$B$6:$B$105,A86,Collections!$E$6:$E$105,D86,Collections!$J$6:$J$105,"Counted")=0,"",SUMIFS(Collections!$D$6:$D$105,Collections!$B$6:$B$105,A86,Collections!$E$6:$E$105,D86,Collections!$J$6:$J$105,"Counted"))))</x:f>
      </x:c>
      <x:c r="O86" s="17"/>
      <x:c r="P86" s="17"/>
    </x:row>
    <x:row r="87">
      <x:c r="A87" s="22"/>
      <x:c r="B87" s="22"/>
      <x:c r="C87" s="22"/>
      <x:c r="D87" s="22"/>
      <x:c r="E87" s="24"/>
      <x:c r="F87" s="24"/>
      <x:c r="G87" s="24"/>
      <x:c r="H87" s="24"/>
      <x:c r="I87" s="24"/>
      <x:c r="J87" s="25" t="str">
        <x:f>IF(COUNT(H87:I87)&lt;2,"",I87-H87)</x:f>
      </x:c>
      <x:c r="K87" s="26" t="str">
        <x:f>IF(COUNT(H87:I87)&lt;2,"",IF(I87=0,"n.a.",J87/I87))</x:f>
      </x:c>
      <x:c r="L87" s="26" t="str">
        <x:f>IF(COUNT(E87:F87)&lt;2,"",IF(E87=0,"n.a.",(F87-E87)/E87))</x:f>
      </x:c>
      <x:c r="M87" s="26" t="str">
        <x:f>IF(COUNT(G87:H87)&lt;2,"",IF(G87=0,"n.a.",(H87-G87)/G87))</x:f>
      </x:c>
      <x:c r="N87" s="27" t="str">
        <x:f>IF(A87="","",IF(COUNTIFS(Collections!$B$6:$B$105,A87,Collections!$E$6:$E$105,D87,Collections!$J$6:$J$105,"Incomplete")+COUNTIFS(Collections!$B$6:$B$105,A87,Collections!$E$6:$E$105,D87,Collections!$J$6:$J$105,"Duplicate ID")&gt;0,"Review collections",IF(COUNTIFS(Collections!$B$6:$B$105,A87,Collections!$E$6:$E$105,D87,Collections!$J$6:$J$105,"Counted")=0,"",SUMIFS(Collections!$D$6:$D$105,Collections!$B$6:$B$105,A87,Collections!$E$6:$E$105,D87,Collections!$J$6:$J$105,"Counted"))))</x:f>
      </x:c>
      <x:c r="O87" s="17"/>
      <x:c r="P87" s="17"/>
    </x:row>
    <x:row r="88">
      <x:c r="A88" s="22"/>
      <x:c r="B88" s="22"/>
      <x:c r="C88" s="22"/>
      <x:c r="D88" s="22"/>
      <x:c r="E88" s="24"/>
      <x:c r="F88" s="24"/>
      <x:c r="G88" s="24"/>
      <x:c r="H88" s="24"/>
      <x:c r="I88" s="24"/>
      <x:c r="J88" s="25" t="str">
        <x:f>IF(COUNT(H88:I88)&lt;2,"",I88-H88)</x:f>
      </x:c>
      <x:c r="K88" s="26" t="str">
        <x:f>IF(COUNT(H88:I88)&lt;2,"",IF(I88=0,"n.a.",J88/I88))</x:f>
      </x:c>
      <x:c r="L88" s="26" t="str">
        <x:f>IF(COUNT(E88:F88)&lt;2,"",IF(E88=0,"n.a.",(F88-E88)/E88))</x:f>
      </x:c>
      <x:c r="M88" s="26" t="str">
        <x:f>IF(COUNT(G88:H88)&lt;2,"",IF(G88=0,"n.a.",(H88-G88)/G88))</x:f>
      </x:c>
      <x:c r="N88" s="27" t="str">
        <x:f>IF(A88="","",IF(COUNTIFS(Collections!$B$6:$B$105,A88,Collections!$E$6:$E$105,D88,Collections!$J$6:$J$105,"Incomplete")+COUNTIFS(Collections!$B$6:$B$105,A88,Collections!$E$6:$E$105,D88,Collections!$J$6:$J$105,"Duplicate ID")&gt;0,"Review collections",IF(COUNTIFS(Collections!$B$6:$B$105,A88,Collections!$E$6:$E$105,D88,Collections!$J$6:$J$105,"Counted")=0,"",SUMIFS(Collections!$D$6:$D$105,Collections!$B$6:$B$105,A88,Collections!$E$6:$E$105,D88,Collections!$J$6:$J$105,"Counted"))))</x:f>
      </x:c>
      <x:c r="O88" s="17"/>
      <x:c r="P88" s="17"/>
    </x:row>
    <x:row r="89">
      <x:c r="A89" s="22"/>
      <x:c r="B89" s="22"/>
      <x:c r="C89" s="22"/>
      <x:c r="D89" s="22"/>
      <x:c r="E89" s="24"/>
      <x:c r="F89" s="24"/>
      <x:c r="G89" s="24"/>
      <x:c r="H89" s="24"/>
      <x:c r="I89" s="24"/>
      <x:c r="J89" s="25" t="str">
        <x:f>IF(COUNT(H89:I89)&lt;2,"",I89-H89)</x:f>
      </x:c>
      <x:c r="K89" s="26" t="str">
        <x:f>IF(COUNT(H89:I89)&lt;2,"",IF(I89=0,"n.a.",J89/I89))</x:f>
      </x:c>
      <x:c r="L89" s="26" t="str">
        <x:f>IF(COUNT(E89:F89)&lt;2,"",IF(E89=0,"n.a.",(F89-E89)/E89))</x:f>
      </x:c>
      <x:c r="M89" s="26" t="str">
        <x:f>IF(COUNT(G89:H89)&lt;2,"",IF(G89=0,"n.a.",(H89-G89)/G89))</x:f>
      </x:c>
      <x:c r="N89" s="27" t="str">
        <x:f>IF(A89="","",IF(COUNTIFS(Collections!$B$6:$B$105,A89,Collections!$E$6:$E$105,D89,Collections!$J$6:$J$105,"Incomplete")+COUNTIFS(Collections!$B$6:$B$105,A89,Collections!$E$6:$E$105,D89,Collections!$J$6:$J$105,"Duplicate ID")&gt;0,"Review collections",IF(COUNTIFS(Collections!$B$6:$B$105,A89,Collections!$E$6:$E$105,D89,Collections!$J$6:$J$105,"Counted")=0,"",SUMIFS(Collections!$D$6:$D$105,Collections!$B$6:$B$105,A89,Collections!$E$6:$E$105,D89,Collections!$J$6:$J$105,"Counted"))))</x:f>
      </x:c>
      <x:c r="O89" s="17"/>
      <x:c r="P89" s="17"/>
    </x:row>
    <x:row r="90">
      <x:c r="A90" s="22"/>
      <x:c r="B90" s="22"/>
      <x:c r="C90" s="22"/>
      <x:c r="D90" s="22"/>
      <x:c r="E90" s="24"/>
      <x:c r="F90" s="24"/>
      <x:c r="G90" s="24"/>
      <x:c r="H90" s="24"/>
      <x:c r="I90" s="24"/>
      <x:c r="J90" s="25" t="str">
        <x:f>IF(COUNT(H90:I90)&lt;2,"",I90-H90)</x:f>
      </x:c>
      <x:c r="K90" s="26" t="str">
        <x:f>IF(COUNT(H90:I90)&lt;2,"",IF(I90=0,"n.a.",J90/I90))</x:f>
      </x:c>
      <x:c r="L90" s="26" t="str">
        <x:f>IF(COUNT(E90:F90)&lt;2,"",IF(E90=0,"n.a.",(F90-E90)/E90))</x:f>
      </x:c>
      <x:c r="M90" s="26" t="str">
        <x:f>IF(COUNT(G90:H90)&lt;2,"",IF(G90=0,"n.a.",(H90-G90)/G90))</x:f>
      </x:c>
      <x:c r="N90" s="27" t="str">
        <x:f>IF(A90="","",IF(COUNTIFS(Collections!$B$6:$B$105,A90,Collections!$E$6:$E$105,D90,Collections!$J$6:$J$105,"Incomplete")+COUNTIFS(Collections!$B$6:$B$105,A90,Collections!$E$6:$E$105,D90,Collections!$J$6:$J$105,"Duplicate ID")&gt;0,"Review collections",IF(COUNTIFS(Collections!$B$6:$B$105,A90,Collections!$E$6:$E$105,D90,Collections!$J$6:$J$105,"Counted")=0,"",SUMIFS(Collections!$D$6:$D$105,Collections!$B$6:$B$105,A90,Collections!$E$6:$E$105,D90,Collections!$J$6:$J$105,"Counted"))))</x:f>
      </x:c>
      <x:c r="O90" s="17"/>
      <x:c r="P90" s="17"/>
    </x:row>
    <x:row r="91">
      <x:c r="A91" s="22"/>
      <x:c r="B91" s="22"/>
      <x:c r="C91" s="22"/>
      <x:c r="D91" s="22"/>
      <x:c r="E91" s="24"/>
      <x:c r="F91" s="24"/>
      <x:c r="G91" s="24"/>
      <x:c r="H91" s="24"/>
      <x:c r="I91" s="24"/>
      <x:c r="J91" s="25" t="str">
        <x:f>IF(COUNT(H91:I91)&lt;2,"",I91-H91)</x:f>
      </x:c>
      <x:c r="K91" s="26" t="str">
        <x:f>IF(COUNT(H91:I91)&lt;2,"",IF(I91=0,"n.a.",J91/I91))</x:f>
      </x:c>
      <x:c r="L91" s="26" t="str">
        <x:f>IF(COUNT(E91:F91)&lt;2,"",IF(E91=0,"n.a.",(F91-E91)/E91))</x:f>
      </x:c>
      <x:c r="M91" s="26" t="str">
        <x:f>IF(COUNT(G91:H91)&lt;2,"",IF(G91=0,"n.a.",(H91-G91)/G91))</x:f>
      </x:c>
      <x:c r="N91" s="27" t="str">
        <x:f>IF(A91="","",IF(COUNTIFS(Collections!$B$6:$B$105,A91,Collections!$E$6:$E$105,D91,Collections!$J$6:$J$105,"Incomplete")+COUNTIFS(Collections!$B$6:$B$105,A91,Collections!$E$6:$E$105,D91,Collections!$J$6:$J$105,"Duplicate ID")&gt;0,"Review collections",IF(COUNTIFS(Collections!$B$6:$B$105,A91,Collections!$E$6:$E$105,D91,Collections!$J$6:$J$105,"Counted")=0,"",SUMIFS(Collections!$D$6:$D$105,Collections!$B$6:$B$105,A91,Collections!$E$6:$E$105,D91,Collections!$J$6:$J$105,"Counted"))))</x:f>
      </x:c>
      <x:c r="O91" s="17"/>
      <x:c r="P91" s="17"/>
    </x:row>
    <x:row r="92">
      <x:c r="A92" s="22"/>
      <x:c r="B92" s="22"/>
      <x:c r="C92" s="22"/>
      <x:c r="D92" s="22"/>
      <x:c r="E92" s="24"/>
      <x:c r="F92" s="24"/>
      <x:c r="G92" s="24"/>
      <x:c r="H92" s="24"/>
      <x:c r="I92" s="24"/>
      <x:c r="J92" s="25" t="str">
        <x:f>IF(COUNT(H92:I92)&lt;2,"",I92-H92)</x:f>
      </x:c>
      <x:c r="K92" s="26" t="str">
        <x:f>IF(COUNT(H92:I92)&lt;2,"",IF(I92=0,"n.a.",J92/I92))</x:f>
      </x:c>
      <x:c r="L92" s="26" t="str">
        <x:f>IF(COUNT(E92:F92)&lt;2,"",IF(E92=0,"n.a.",(F92-E92)/E92))</x:f>
      </x:c>
      <x:c r="M92" s="26" t="str">
        <x:f>IF(COUNT(G92:H92)&lt;2,"",IF(G92=0,"n.a.",(H92-G92)/G92))</x:f>
      </x:c>
      <x:c r="N92" s="27" t="str">
        <x:f>IF(A92="","",IF(COUNTIFS(Collections!$B$6:$B$105,A92,Collections!$E$6:$E$105,D92,Collections!$J$6:$J$105,"Incomplete")+COUNTIFS(Collections!$B$6:$B$105,A92,Collections!$E$6:$E$105,D92,Collections!$J$6:$J$105,"Duplicate ID")&gt;0,"Review collections",IF(COUNTIFS(Collections!$B$6:$B$105,A92,Collections!$E$6:$E$105,D92,Collections!$J$6:$J$105,"Counted")=0,"",SUMIFS(Collections!$D$6:$D$105,Collections!$B$6:$B$105,A92,Collections!$E$6:$E$105,D92,Collections!$J$6:$J$105,"Counted"))))</x:f>
      </x:c>
      <x:c r="O92" s="17"/>
      <x:c r="P92" s="17"/>
    </x:row>
    <x:row r="93">
      <x:c r="A93" s="22"/>
      <x:c r="B93" s="22"/>
      <x:c r="C93" s="22"/>
      <x:c r="D93" s="22"/>
      <x:c r="E93" s="24"/>
      <x:c r="F93" s="24"/>
      <x:c r="G93" s="24"/>
      <x:c r="H93" s="24"/>
      <x:c r="I93" s="24"/>
      <x:c r="J93" s="25" t="str">
        <x:f>IF(COUNT(H93:I93)&lt;2,"",I93-H93)</x:f>
      </x:c>
      <x:c r="K93" s="26" t="str">
        <x:f>IF(COUNT(H93:I93)&lt;2,"",IF(I93=0,"n.a.",J93/I93))</x:f>
      </x:c>
      <x:c r="L93" s="26" t="str">
        <x:f>IF(COUNT(E93:F93)&lt;2,"",IF(E93=0,"n.a.",(F93-E93)/E93))</x:f>
      </x:c>
      <x:c r="M93" s="26" t="str">
        <x:f>IF(COUNT(G93:H93)&lt;2,"",IF(G93=0,"n.a.",(H93-G93)/G93))</x:f>
      </x:c>
      <x:c r="N93" s="27" t="str">
        <x:f>IF(A93="","",IF(COUNTIFS(Collections!$B$6:$B$105,A93,Collections!$E$6:$E$105,D93,Collections!$J$6:$J$105,"Incomplete")+COUNTIFS(Collections!$B$6:$B$105,A93,Collections!$E$6:$E$105,D93,Collections!$J$6:$J$105,"Duplicate ID")&gt;0,"Review collections",IF(COUNTIFS(Collections!$B$6:$B$105,A93,Collections!$E$6:$E$105,D93,Collections!$J$6:$J$105,"Counted")=0,"",SUMIFS(Collections!$D$6:$D$105,Collections!$B$6:$B$105,A93,Collections!$E$6:$E$105,D93,Collections!$J$6:$J$105,"Counted"))))</x:f>
      </x:c>
      <x:c r="O93" s="17"/>
      <x:c r="P93" s="17"/>
    </x:row>
    <x:row r="94">
      <x:c r="A94" s="22"/>
      <x:c r="B94" s="22"/>
      <x:c r="C94" s="22"/>
      <x:c r="D94" s="22"/>
      <x:c r="E94" s="24"/>
      <x:c r="F94" s="24"/>
      <x:c r="G94" s="24"/>
      <x:c r="H94" s="24"/>
      <x:c r="I94" s="24"/>
      <x:c r="J94" s="25" t="str">
        <x:f>IF(COUNT(H94:I94)&lt;2,"",I94-H94)</x:f>
      </x:c>
      <x:c r="K94" s="26" t="str">
        <x:f>IF(COUNT(H94:I94)&lt;2,"",IF(I94=0,"n.a.",J94/I94))</x:f>
      </x:c>
      <x:c r="L94" s="26" t="str">
        <x:f>IF(COUNT(E94:F94)&lt;2,"",IF(E94=0,"n.a.",(F94-E94)/E94))</x:f>
      </x:c>
      <x:c r="M94" s="26" t="str">
        <x:f>IF(COUNT(G94:H94)&lt;2,"",IF(G94=0,"n.a.",(H94-G94)/G94))</x:f>
      </x:c>
      <x:c r="N94" s="27" t="str">
        <x:f>IF(A94="","",IF(COUNTIFS(Collections!$B$6:$B$105,A94,Collections!$E$6:$E$105,D94,Collections!$J$6:$J$105,"Incomplete")+COUNTIFS(Collections!$B$6:$B$105,A94,Collections!$E$6:$E$105,D94,Collections!$J$6:$J$105,"Duplicate ID")&gt;0,"Review collections",IF(COUNTIFS(Collections!$B$6:$B$105,A94,Collections!$E$6:$E$105,D94,Collections!$J$6:$J$105,"Counted")=0,"",SUMIFS(Collections!$D$6:$D$105,Collections!$B$6:$B$105,A94,Collections!$E$6:$E$105,D94,Collections!$J$6:$J$105,"Counted"))))</x:f>
      </x:c>
      <x:c r="O94" s="17"/>
      <x:c r="P94" s="17"/>
    </x:row>
    <x:row r="95">
      <x:c r="A95" s="22"/>
      <x:c r="B95" s="22"/>
      <x:c r="C95" s="22"/>
      <x:c r="D95" s="22"/>
      <x:c r="E95" s="24"/>
      <x:c r="F95" s="24"/>
      <x:c r="G95" s="24"/>
      <x:c r="H95" s="24"/>
      <x:c r="I95" s="24"/>
      <x:c r="J95" s="25" t="str">
        <x:f>IF(COUNT(H95:I95)&lt;2,"",I95-H95)</x:f>
      </x:c>
      <x:c r="K95" s="26" t="str">
        <x:f>IF(COUNT(H95:I95)&lt;2,"",IF(I95=0,"n.a.",J95/I95))</x:f>
      </x:c>
      <x:c r="L95" s="26" t="str">
        <x:f>IF(COUNT(E95:F95)&lt;2,"",IF(E95=0,"n.a.",(F95-E95)/E95))</x:f>
      </x:c>
      <x:c r="M95" s="26" t="str">
        <x:f>IF(COUNT(G95:H95)&lt;2,"",IF(G95=0,"n.a.",(H95-G95)/G95))</x:f>
      </x:c>
      <x:c r="N95" s="27" t="str">
        <x:f>IF(A95="","",IF(COUNTIFS(Collections!$B$6:$B$105,A95,Collections!$E$6:$E$105,D95,Collections!$J$6:$J$105,"Incomplete")+COUNTIFS(Collections!$B$6:$B$105,A95,Collections!$E$6:$E$105,D95,Collections!$J$6:$J$105,"Duplicate ID")&gt;0,"Review collections",IF(COUNTIFS(Collections!$B$6:$B$105,A95,Collections!$E$6:$E$105,D95,Collections!$J$6:$J$105,"Counted")=0,"",SUMIFS(Collections!$D$6:$D$105,Collections!$B$6:$B$105,A95,Collections!$E$6:$E$105,D95,Collections!$J$6:$J$105,"Counted"))))</x:f>
      </x:c>
      <x:c r="O95" s="17"/>
      <x:c r="P95" s="17"/>
    </x:row>
    <x:row r="96">
      <x:c r="A96" s="22"/>
      <x:c r="B96" s="22"/>
      <x:c r="C96" s="22"/>
      <x:c r="D96" s="22"/>
      <x:c r="E96" s="24"/>
      <x:c r="F96" s="24"/>
      <x:c r="G96" s="24"/>
      <x:c r="H96" s="24"/>
      <x:c r="I96" s="24"/>
      <x:c r="J96" s="25" t="str">
        <x:f>IF(COUNT(H96:I96)&lt;2,"",I96-H96)</x:f>
      </x:c>
      <x:c r="K96" s="26" t="str">
        <x:f>IF(COUNT(H96:I96)&lt;2,"",IF(I96=0,"n.a.",J96/I96))</x:f>
      </x:c>
      <x:c r="L96" s="26" t="str">
        <x:f>IF(COUNT(E96:F96)&lt;2,"",IF(E96=0,"n.a.",(F96-E96)/E96))</x:f>
      </x:c>
      <x:c r="M96" s="26" t="str">
        <x:f>IF(COUNT(G96:H96)&lt;2,"",IF(G96=0,"n.a.",(H96-G96)/G96))</x:f>
      </x:c>
      <x:c r="N96" s="27" t="str">
        <x:f>IF(A96="","",IF(COUNTIFS(Collections!$B$6:$B$105,A96,Collections!$E$6:$E$105,D96,Collections!$J$6:$J$105,"Incomplete")+COUNTIFS(Collections!$B$6:$B$105,A96,Collections!$E$6:$E$105,D96,Collections!$J$6:$J$105,"Duplicate ID")&gt;0,"Review collections",IF(COUNTIFS(Collections!$B$6:$B$105,A96,Collections!$E$6:$E$105,D96,Collections!$J$6:$J$105,"Counted")=0,"",SUMIFS(Collections!$D$6:$D$105,Collections!$B$6:$B$105,A96,Collections!$E$6:$E$105,D96,Collections!$J$6:$J$105,"Counted"))))</x:f>
      </x:c>
      <x:c r="O96" s="17"/>
      <x:c r="P96" s="17"/>
    </x:row>
    <x:row r="97">
      <x:c r="A97" s="22"/>
      <x:c r="B97" s="22"/>
      <x:c r="C97" s="22"/>
      <x:c r="D97" s="22"/>
      <x:c r="E97" s="24"/>
      <x:c r="F97" s="24"/>
      <x:c r="G97" s="24"/>
      <x:c r="H97" s="24"/>
      <x:c r="I97" s="24"/>
      <x:c r="J97" s="25" t="str">
        <x:f>IF(COUNT(H97:I97)&lt;2,"",I97-H97)</x:f>
      </x:c>
      <x:c r="K97" s="26" t="str">
        <x:f>IF(COUNT(H97:I97)&lt;2,"",IF(I97=0,"n.a.",J97/I97))</x:f>
      </x:c>
      <x:c r="L97" s="26" t="str">
        <x:f>IF(COUNT(E97:F97)&lt;2,"",IF(E97=0,"n.a.",(F97-E97)/E97))</x:f>
      </x:c>
      <x:c r="M97" s="26" t="str">
        <x:f>IF(COUNT(G97:H97)&lt;2,"",IF(G97=0,"n.a.",(H97-G97)/G97))</x:f>
      </x:c>
      <x:c r="N97" s="27" t="str">
        <x:f>IF(A97="","",IF(COUNTIFS(Collections!$B$6:$B$105,A97,Collections!$E$6:$E$105,D97,Collections!$J$6:$J$105,"Incomplete")+COUNTIFS(Collections!$B$6:$B$105,A97,Collections!$E$6:$E$105,D97,Collections!$J$6:$J$105,"Duplicate ID")&gt;0,"Review collections",IF(COUNTIFS(Collections!$B$6:$B$105,A97,Collections!$E$6:$E$105,D97,Collections!$J$6:$J$105,"Counted")=0,"",SUMIFS(Collections!$D$6:$D$105,Collections!$B$6:$B$105,A97,Collections!$E$6:$E$105,D97,Collections!$J$6:$J$105,"Counted"))))</x:f>
      </x:c>
      <x:c r="O97" s="17"/>
      <x:c r="P97" s="17"/>
    </x:row>
    <x:row r="98">
      <x:c r="A98" s="22"/>
      <x:c r="B98" s="22"/>
      <x:c r="C98" s="22"/>
      <x:c r="D98" s="22"/>
      <x:c r="E98" s="24"/>
      <x:c r="F98" s="24"/>
      <x:c r="G98" s="24"/>
      <x:c r="H98" s="24"/>
      <x:c r="I98" s="24"/>
      <x:c r="J98" s="25" t="str">
        <x:f>IF(COUNT(H98:I98)&lt;2,"",I98-H98)</x:f>
      </x:c>
      <x:c r="K98" s="26" t="str">
        <x:f>IF(COUNT(H98:I98)&lt;2,"",IF(I98=0,"n.a.",J98/I98))</x:f>
      </x:c>
      <x:c r="L98" s="26" t="str">
        <x:f>IF(COUNT(E98:F98)&lt;2,"",IF(E98=0,"n.a.",(F98-E98)/E98))</x:f>
      </x:c>
      <x:c r="M98" s="26" t="str">
        <x:f>IF(COUNT(G98:H98)&lt;2,"",IF(G98=0,"n.a.",(H98-G98)/G98))</x:f>
      </x:c>
      <x:c r="N98" s="27" t="str">
        <x:f>IF(A98="","",IF(COUNTIFS(Collections!$B$6:$B$105,A98,Collections!$E$6:$E$105,D98,Collections!$J$6:$J$105,"Incomplete")+COUNTIFS(Collections!$B$6:$B$105,A98,Collections!$E$6:$E$105,D98,Collections!$J$6:$J$105,"Duplicate ID")&gt;0,"Review collections",IF(COUNTIFS(Collections!$B$6:$B$105,A98,Collections!$E$6:$E$105,D98,Collections!$J$6:$J$105,"Counted")=0,"",SUMIFS(Collections!$D$6:$D$105,Collections!$B$6:$B$105,A98,Collections!$E$6:$E$105,D98,Collections!$J$6:$J$105,"Counted"))))</x:f>
      </x:c>
      <x:c r="O98" s="17"/>
      <x:c r="P98" s="17"/>
    </x:row>
    <x:row r="99">
      <x:c r="A99" s="22"/>
      <x:c r="B99" s="22"/>
      <x:c r="C99" s="22"/>
      <x:c r="D99" s="22"/>
      <x:c r="E99" s="24"/>
      <x:c r="F99" s="24"/>
      <x:c r="G99" s="24"/>
      <x:c r="H99" s="24"/>
      <x:c r="I99" s="24"/>
      <x:c r="J99" s="25" t="str">
        <x:f>IF(COUNT(H99:I99)&lt;2,"",I99-H99)</x:f>
      </x:c>
      <x:c r="K99" s="26" t="str">
        <x:f>IF(COUNT(H99:I99)&lt;2,"",IF(I99=0,"n.a.",J99/I99))</x:f>
      </x:c>
      <x:c r="L99" s="26" t="str">
        <x:f>IF(COUNT(E99:F99)&lt;2,"",IF(E99=0,"n.a.",(F99-E99)/E99))</x:f>
      </x:c>
      <x:c r="M99" s="26" t="str">
        <x:f>IF(COUNT(G99:H99)&lt;2,"",IF(G99=0,"n.a.",(H99-G99)/G99))</x:f>
      </x:c>
      <x:c r="N99" s="27" t="str">
        <x:f>IF(A99="","",IF(COUNTIFS(Collections!$B$6:$B$105,A99,Collections!$E$6:$E$105,D99,Collections!$J$6:$J$105,"Incomplete")+COUNTIFS(Collections!$B$6:$B$105,A99,Collections!$E$6:$E$105,D99,Collections!$J$6:$J$105,"Duplicate ID")&gt;0,"Review collections",IF(COUNTIFS(Collections!$B$6:$B$105,A99,Collections!$E$6:$E$105,D99,Collections!$J$6:$J$105,"Counted")=0,"",SUMIFS(Collections!$D$6:$D$105,Collections!$B$6:$B$105,A99,Collections!$E$6:$E$105,D99,Collections!$J$6:$J$105,"Counted"))))</x:f>
      </x:c>
      <x:c r="O99" s="17"/>
      <x:c r="P99" s="17"/>
    </x:row>
    <x:row r="100">
      <x:c r="A100" s="22"/>
      <x:c r="B100" s="22"/>
      <x:c r="C100" s="22"/>
      <x:c r="D100" s="22"/>
      <x:c r="E100" s="24"/>
      <x:c r="F100" s="24"/>
      <x:c r="G100" s="24"/>
      <x:c r="H100" s="24"/>
      <x:c r="I100" s="24"/>
      <x:c r="J100" s="25" t="str">
        <x:f>IF(COUNT(H100:I100)&lt;2,"",I100-H100)</x:f>
      </x:c>
      <x:c r="K100" s="26" t="str">
        <x:f>IF(COUNT(H100:I100)&lt;2,"",IF(I100=0,"n.a.",J100/I100))</x:f>
      </x:c>
      <x:c r="L100" s="26" t="str">
        <x:f>IF(COUNT(E100:F100)&lt;2,"",IF(E100=0,"n.a.",(F100-E100)/E100))</x:f>
      </x:c>
      <x:c r="M100" s="26" t="str">
        <x:f>IF(COUNT(G100:H100)&lt;2,"",IF(G100=0,"n.a.",(H100-G100)/G100))</x:f>
      </x:c>
      <x:c r="N100" s="27" t="str">
        <x:f>IF(A100="","",IF(COUNTIFS(Collections!$B$6:$B$105,A100,Collections!$E$6:$E$105,D100,Collections!$J$6:$J$105,"Incomplete")+COUNTIFS(Collections!$B$6:$B$105,A100,Collections!$E$6:$E$105,D100,Collections!$J$6:$J$105,"Duplicate ID")&gt;0,"Review collections",IF(COUNTIFS(Collections!$B$6:$B$105,A100,Collections!$E$6:$E$105,D100,Collections!$J$6:$J$105,"Counted")=0,"",SUMIFS(Collections!$D$6:$D$105,Collections!$B$6:$B$105,A100,Collections!$E$6:$E$105,D100,Collections!$J$6:$J$105,"Counted"))))</x:f>
      </x:c>
      <x:c r="O100" s="17"/>
      <x:c r="P100" s="17"/>
    </x:row>
    <x:row r="101">
      <x:c r="A101" s="22"/>
      <x:c r="B101" s="22"/>
      <x:c r="C101" s="22"/>
      <x:c r="D101" s="22"/>
      <x:c r="E101" s="24"/>
      <x:c r="F101" s="24"/>
      <x:c r="G101" s="24"/>
      <x:c r="H101" s="24"/>
      <x:c r="I101" s="24"/>
      <x:c r="J101" s="25" t="str">
        <x:f>IF(COUNT(H101:I101)&lt;2,"",I101-H101)</x:f>
      </x:c>
      <x:c r="K101" s="26" t="str">
        <x:f>IF(COUNT(H101:I101)&lt;2,"",IF(I101=0,"n.a.",J101/I101))</x:f>
      </x:c>
      <x:c r="L101" s="26" t="str">
        <x:f>IF(COUNT(E101:F101)&lt;2,"",IF(E101=0,"n.a.",(F101-E101)/E101))</x:f>
      </x:c>
      <x:c r="M101" s="26" t="str">
        <x:f>IF(COUNT(G101:H101)&lt;2,"",IF(G101=0,"n.a.",(H101-G101)/G101))</x:f>
      </x:c>
      <x:c r="N101" s="27" t="str">
        <x:f>IF(A101="","",IF(COUNTIFS(Collections!$B$6:$B$105,A101,Collections!$E$6:$E$105,D101,Collections!$J$6:$J$105,"Incomplete")+COUNTIFS(Collections!$B$6:$B$105,A101,Collections!$E$6:$E$105,D101,Collections!$J$6:$J$105,"Duplicate ID")&gt;0,"Review collections",IF(COUNTIFS(Collections!$B$6:$B$105,A101,Collections!$E$6:$E$105,D101,Collections!$J$6:$J$105,"Counted")=0,"",SUMIFS(Collections!$D$6:$D$105,Collections!$B$6:$B$105,A101,Collections!$E$6:$E$105,D101,Collections!$J$6:$J$105,"Counted"))))</x:f>
      </x:c>
      <x:c r="O101" s="17"/>
      <x:c r="P101" s="17"/>
    </x:row>
    <x:row r="102">
      <x:c r="A102" s="22"/>
      <x:c r="B102" s="22"/>
      <x:c r="C102" s="22"/>
      <x:c r="D102" s="22"/>
      <x:c r="E102" s="24"/>
      <x:c r="F102" s="24"/>
      <x:c r="G102" s="24"/>
      <x:c r="H102" s="24"/>
      <x:c r="I102" s="24"/>
      <x:c r="J102" s="25" t="str">
        <x:f>IF(COUNT(H102:I102)&lt;2,"",I102-H102)</x:f>
      </x:c>
      <x:c r="K102" s="26" t="str">
        <x:f>IF(COUNT(H102:I102)&lt;2,"",IF(I102=0,"n.a.",J102/I102))</x:f>
      </x:c>
      <x:c r="L102" s="26" t="str">
        <x:f>IF(COUNT(E102:F102)&lt;2,"",IF(E102=0,"n.a.",(F102-E102)/E102))</x:f>
      </x:c>
      <x:c r="M102" s="26" t="str">
        <x:f>IF(COUNT(G102:H102)&lt;2,"",IF(G102=0,"n.a.",(H102-G102)/G102))</x:f>
      </x:c>
      <x:c r="N102" s="27" t="str">
        <x:f>IF(A102="","",IF(COUNTIFS(Collections!$B$6:$B$105,A102,Collections!$E$6:$E$105,D102,Collections!$J$6:$J$105,"Incomplete")+COUNTIFS(Collections!$B$6:$B$105,A102,Collections!$E$6:$E$105,D102,Collections!$J$6:$J$105,"Duplicate ID")&gt;0,"Review collections",IF(COUNTIFS(Collections!$B$6:$B$105,A102,Collections!$E$6:$E$105,D102,Collections!$J$6:$J$105,"Counted")=0,"",SUMIFS(Collections!$D$6:$D$105,Collections!$B$6:$B$105,A102,Collections!$E$6:$E$105,D102,Collections!$J$6:$J$105,"Counted"))))</x:f>
      </x:c>
      <x:c r="O102" s="17"/>
      <x:c r="P102" s="17"/>
    </x:row>
    <x:row r="103">
      <x:c r="A103" s="22"/>
      <x:c r="B103" s="22"/>
      <x:c r="C103" s="22"/>
      <x:c r="D103" s="22"/>
      <x:c r="E103" s="24"/>
      <x:c r="F103" s="24"/>
      <x:c r="G103" s="24"/>
      <x:c r="H103" s="24"/>
      <x:c r="I103" s="24"/>
      <x:c r="J103" s="25" t="str">
        <x:f>IF(COUNT(H103:I103)&lt;2,"",I103-H103)</x:f>
      </x:c>
      <x:c r="K103" s="26" t="str">
        <x:f>IF(COUNT(H103:I103)&lt;2,"",IF(I103=0,"n.a.",J103/I103))</x:f>
      </x:c>
      <x:c r="L103" s="26" t="str">
        <x:f>IF(COUNT(E103:F103)&lt;2,"",IF(E103=0,"n.a.",(F103-E103)/E103))</x:f>
      </x:c>
      <x:c r="M103" s="26" t="str">
        <x:f>IF(COUNT(G103:H103)&lt;2,"",IF(G103=0,"n.a.",(H103-G103)/G103))</x:f>
      </x:c>
      <x:c r="N103" s="27" t="str">
        <x:f>IF(A103="","",IF(COUNTIFS(Collections!$B$6:$B$105,A103,Collections!$E$6:$E$105,D103,Collections!$J$6:$J$105,"Incomplete")+COUNTIFS(Collections!$B$6:$B$105,A103,Collections!$E$6:$E$105,D103,Collections!$J$6:$J$105,"Duplicate ID")&gt;0,"Review collections",IF(COUNTIFS(Collections!$B$6:$B$105,A103,Collections!$E$6:$E$105,D103,Collections!$J$6:$J$105,"Counted")=0,"",SUMIFS(Collections!$D$6:$D$105,Collections!$B$6:$B$105,A103,Collections!$E$6:$E$105,D103,Collections!$J$6:$J$105,"Counted"))))</x:f>
      </x:c>
      <x:c r="O103" s="17"/>
      <x:c r="P103" s="17"/>
    </x:row>
    <x:row r="104">
      <x:c r="A104" s="22"/>
      <x:c r="B104" s="22"/>
      <x:c r="C104" s="22"/>
      <x:c r="D104" s="22"/>
      <x:c r="E104" s="24"/>
      <x:c r="F104" s="24"/>
      <x:c r="G104" s="24"/>
      <x:c r="H104" s="24"/>
      <x:c r="I104" s="24"/>
      <x:c r="J104" s="25" t="str">
        <x:f>IF(COUNT(H104:I104)&lt;2,"",I104-H104)</x:f>
      </x:c>
      <x:c r="K104" s="26" t="str">
        <x:f>IF(COUNT(H104:I104)&lt;2,"",IF(I104=0,"n.a.",J104/I104))</x:f>
      </x:c>
      <x:c r="L104" s="26" t="str">
        <x:f>IF(COUNT(E104:F104)&lt;2,"",IF(E104=0,"n.a.",(F104-E104)/E104))</x:f>
      </x:c>
      <x:c r="M104" s="26" t="str">
        <x:f>IF(COUNT(G104:H104)&lt;2,"",IF(G104=0,"n.a.",(H104-G104)/G104))</x:f>
      </x:c>
      <x:c r="N104" s="27" t="str">
        <x:f>IF(A104="","",IF(COUNTIFS(Collections!$B$6:$B$105,A104,Collections!$E$6:$E$105,D104,Collections!$J$6:$J$105,"Incomplete")+COUNTIFS(Collections!$B$6:$B$105,A104,Collections!$E$6:$E$105,D104,Collections!$J$6:$J$105,"Duplicate ID")&gt;0,"Review collections",IF(COUNTIFS(Collections!$B$6:$B$105,A104,Collections!$E$6:$E$105,D104,Collections!$J$6:$J$105,"Counted")=0,"",SUMIFS(Collections!$D$6:$D$105,Collections!$B$6:$B$105,A104,Collections!$E$6:$E$105,D104,Collections!$J$6:$J$105,"Counted"))))</x:f>
      </x:c>
      <x:c r="O104" s="17"/>
      <x:c r="P104" s="17"/>
    </x:row>
    <x:row r="105">
      <x:c r="A105" s="22"/>
      <x:c r="B105" s="22"/>
      <x:c r="C105" s="22"/>
      <x:c r="D105" s="22"/>
      <x:c r="E105" s="24"/>
      <x:c r="F105" s="24"/>
      <x:c r="G105" s="24"/>
      <x:c r="H105" s="24"/>
      <x:c r="I105" s="24"/>
      <x:c r="J105" s="25" t="str">
        <x:f>IF(COUNT(H105:I105)&lt;2,"",I105-H105)</x:f>
      </x:c>
      <x:c r="K105" s="26" t="str">
        <x:f>IF(COUNT(H105:I105)&lt;2,"",IF(I105=0,"n.a.",J105/I105))</x:f>
      </x:c>
      <x:c r="L105" s="26" t="str">
        <x:f>IF(COUNT(E105:F105)&lt;2,"",IF(E105=0,"n.a.",(F105-E105)/E105))</x:f>
      </x:c>
      <x:c r="M105" s="26" t="str">
        <x:f>IF(COUNT(G105:H105)&lt;2,"",IF(G105=0,"n.a.",(H105-G105)/G105))</x:f>
      </x:c>
      <x:c r="N105" s="27" t="str">
        <x:f>IF(A105="","",IF(COUNTIFS(Collections!$B$6:$B$105,A105,Collections!$E$6:$E$105,D105,Collections!$J$6:$J$105,"Incomplete")+COUNTIFS(Collections!$B$6:$B$105,A105,Collections!$E$6:$E$105,D105,Collections!$J$6:$J$105,"Duplicate ID")&gt;0,"Review collections",IF(COUNTIFS(Collections!$B$6:$B$105,A105,Collections!$E$6:$E$105,D105,Collections!$J$6:$J$105,"Counted")=0,"",SUMIFS(Collections!$D$6:$D$105,Collections!$B$6:$B$105,A105,Collections!$E$6:$E$105,D105,Collections!$J$6:$J$105,"Counted"))))</x:f>
      </x:c>
      <x:c r="O105" s="17"/>
      <x:c r="P105" s="17"/>
    </x:row>
  </x:sheetData>
  <x:dataValidations count="2">
    <x:dataValidation type="list" sqref="P6:P105">
      <x:formula1>"New project,Repeat project,Maintenance,Unknown"</x:formula1>
    </x:dataValidation>
    <x:dataValidation type="decimal" operator="greaterThanOrEqual" sqref="E6:I10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89966da63444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4" hidden="0" customWidth="1"/>
    <x:col min="4" max="4" width="42" hidden="0" customWidth="1"/>
    <x:col min="5" max="5" width="64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Cohort metrics</x:v>
      </x:c>
      <x:c r="B2" s="2"/>
      <x:c r="C2" s="2"/>
      <x:c r="D2" s="2"/>
      <x:c r="E2" s="2"/>
    </x:row>
    <x:row r="3">
      <x:c r="A3" s="4" t="str">
        <x:v>Use one documented inquiry cohort and an as-of cutoff per copy. Blue input counts and costs. A blank denominator is unknown; zero makes a ratio n.a.</x:v>
      </x:c>
      <x:c r="B3" s="2"/>
      <x:c r="C3" s="2"/>
      <x:c r="D3" s="2"/>
      <x:c r="E3" s="2"/>
    </x:row>
    <x:row r="4">
      <x:c r="A4" s="5"/>
      <x:c r="B4" s="5"/>
      <x:c r="C4" s="5"/>
      <x:c r="D4" s="5"/>
      <x:c r="E4" s="5"/>
    </x:row>
    <x:row r="5">
      <x:c r="A5" s="2" t="str">
        <x:v>Cohort definition</x:v>
      </x:c>
      <x:c r="B5" s="17"/>
      <x:c r="C5" s="2"/>
      <x:c r="D5" s="2"/>
      <x:c r="E5" s="2"/>
    </x:row>
    <x:row r="6">
      <x:c r="A6" s="2" t="str">
        <x:v>As-of date</x:v>
      </x:c>
      <x:c r="B6" s="19"/>
      <x:c r="C6" s="2"/>
      <x:c r="D6" s="2"/>
      <x:c r="E6" s="2"/>
    </x:row>
    <x:row r="7">
      <x:c r="A7" s="2" t="str">
        <x:v>Currency</x:v>
      </x:c>
      <x:c r="B7" s="17"/>
      <x:c r="C7" s="2"/>
      <x:c r="D7" s="2"/>
      <x:c r="E7" s="2"/>
    </x:row>
    <x:row r="8">
      <x:c r="A8" s="2"/>
      <x:c r="B8" s="2"/>
      <x:c r="C8" s="2"/>
      <x:c r="D8" s="2"/>
      <x:c r="E8" s="2"/>
    </x:row>
    <x:row r="9" ht="44" customHeight="1">
      <x:c r="A9" s="14" t="str">
        <x:v>Cohort inputs</x:v>
      </x:c>
      <x:c r="B9" s="16" t="str">
        <x:v>Value</x:v>
      </x:c>
      <x:c r="C9" s="2"/>
      <x:c r="D9" s="14" t="str">
        <x:v>Metric</x:v>
      </x:c>
      <x:c r="E9" s="16" t="str">
        <x:v>Result</x:v>
      </x:c>
    </x:row>
    <x:row r="10">
      <x:c r="A10" s="2" t="str">
        <x:v>Total inquiries</x:v>
      </x:c>
      <x:c r="B10" s="28"/>
      <x:c r="C10" s="2"/>
      <x:c r="D10" s="2" t="str">
        <x:v>Qualification rate (reviewed)</x:v>
      </x:c>
      <x:c r="E10" s="29" t="str">
        <x:f>IF(COUNT(B11:B12)&lt;2,"",IF(B11=0,"n.a.",B12/B11))</x:f>
      </x:c>
    </x:row>
    <x:row r="11">
      <x:c r="A11" s="2" t="str">
        <x:v>Qualification reviews completed</x:v>
      </x:c>
      <x:c r="B11" s="28"/>
      <x:c r="C11" s="2"/>
      <x:c r="D11" s="2" t="str">
        <x:v>Proposal progression (qualified)</x:v>
      </x:c>
      <x:c r="E11" s="29" t="str">
        <x:f>IF(COUNT(B12:B13)&lt;2,"",IF(B12=0,"n.a.",B13/B12))</x:f>
      </x:c>
    </x:row>
    <x:row r="12">
      <x:c r="A12" s="2" t="str">
        <x:v>Qualified inquiries</x:v>
      </x:c>
      <x:c r="B12" s="28"/>
      <x:c r="C12" s="2"/>
      <x:c r="D12" s="2" t="str">
        <x:v>Win rate (decided)</x:v>
      </x:c>
      <x:c r="E12" s="29" t="str">
        <x:f>IF(COUNT(B14:B15)&lt;2,"",IF(SUM(B14:B15)=0,"n.a.",B14/SUM(B14:B15)))</x:f>
      </x:c>
    </x:row>
    <x:row r="13">
      <x:c r="A13" s="2" t="str">
        <x:v>Proposals from qualified inquiries</x:v>
      </x:c>
      <x:c r="B13" s="28"/>
      <x:c r="C13" s="2"/>
      <x:c r="D13" s="2" t="str">
        <x:v>Customer acquisition cost</x:v>
      </x:c>
      <x:c r="E13" s="27" t="str">
        <x:f>IF(COUNT(B16:B17)&lt;2,"",IF(B17=0,"n.a.",B16/B17))</x:f>
      </x:c>
    </x:row>
    <x:row r="14">
      <x:c r="A14" s="2" t="str">
        <x:v>Won opportunities (decided)</x:v>
      </x:c>
      <x:c r="B14" s="28"/>
      <x:c r="C14" s="2"/>
      <x:c r="D14" s="2" t="str">
        <x:v>Average first-response hours</x:v>
      </x:c>
      <x:c r="E14" s="27" t="str">
        <x:f>IF(COUNT(B18:B19)&lt;2,"",IF(B19=0,"n.a.",B18/B19))</x:f>
      </x:c>
    </x:row>
    <x:row r="15">
      <x:c r="A15" s="2" t="str">
        <x:v>Lost opportunities (decided)</x:v>
      </x:c>
      <x:c r="B15" s="28"/>
      <x:c r="C15" s="2"/>
      <x:c r="D15" s="2" t="str">
        <x:v>Repeat engagement rate</x:v>
      </x:c>
      <x:c r="E15" s="29" t="str">
        <x:f>IF(COUNT(B20:B21)&lt;2,"",IF(B21=0,"n.a.",B20/B21))</x:f>
      </x:c>
    </x:row>
    <x:row r="16">
      <x:c r="A16" s="2" t="str">
        <x:v>Matched marketing + sales cost</x:v>
      </x:c>
      <x:c r="B16" s="28"/>
      <x:c r="C16" s="2"/>
      <x:c r="D16" s="2"/>
      <x:c r="E16" s="2"/>
    </x:row>
    <x:row r="17">
      <x:c r="A17" s="2" t="str">
        <x:v>New customers acquired from this cohort</x:v>
      </x:c>
      <x:c r="B17" s="28"/>
      <x:c r="C17" s="2"/>
      <x:c r="D17" s="2"/>
      <x:c r="E17" s="2"/>
    </x:row>
    <x:row r="18" ht="36" customHeight="1">
      <x:c r="A18" s="2" t="str">
        <x:v>Sum of first-response hours</x:v>
      </x:c>
      <x:c r="B18" s="28"/>
      <x:c r="C18" s="2"/>
      <x:c r="D18" s="30" t="str">
        <x:v>Scope</x:v>
      </x:c>
      <x:c r="E18" s="30" t="str">
        <x:v>Open opportunities are not losses. Use the same cohort for progression.</x:v>
      </x:c>
    </x:row>
    <x:row r="19" ht="36" customHeight="1">
      <x:c r="A19" s="2" t="str">
        <x:v>Inquiries with both response timestamps</x:v>
      </x:c>
      <x:c r="B19" s="28"/>
      <x:c r="C19" s="2"/>
      <x:c r="D19" s="30" t="str">
        <x:v>Response basis</x:v>
      </x:c>
      <x:c r="E19" s="30" t="str">
        <x:v>Elapsed hours from receipt to first human response; does not adjust for working hours.</x:v>
      </x:c>
    </x:row>
    <x:row r="20" ht="36" customHeight="1">
      <x:c r="A20" s="2" t="str">
        <x:v>Clients with repeat / maintenance</x:v>
      </x:c>
      <x:c r="B20" s="28"/>
      <x:c r="C20" s="2"/>
      <x:c r="D20" s="30" t="str">
        <x:v>Acquisition basis</x:v>
      </x:c>
      <x:c r="E20" s="30" t="str">
        <x:v>Matching acquisition cost and unique new customers; exclude repeat clients.</x:v>
      </x:c>
    </x:row>
    <x:row r="21" ht="36" customHeight="1">
      <x:c r="A21" s="2" t="str">
        <x:v>Existing clients in eligible follow-up cohort</x:v>
      </x:c>
      <x:c r="B21" s="28"/>
      <x:c r="C21" s="2"/>
      <x:c r="D21" s="30" t="str">
        <x:v>Repeat basis</x:v>
      </x:c>
      <x:c r="E21" s="30" t="str">
        <x:v>Clients with a repeat/maintenance engagement divided by eligible existing clients.</x:v>
      </x:c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 ht="44" customHeight="1">
      <x:c r="A24" s="14" t="str">
        <x:v>Source (same cohort)</x:v>
      </x:c>
      <x:c r="B24" s="16" t="str">
        <x:v>Inquiries</x:v>
      </x:c>
      <x:c r="C24" s="2"/>
      <x:c r="D24" s="2"/>
      <x:c r="E24" s="2"/>
    </x:row>
    <x:row r="25">
      <x:c r="A25" s="2" t="str">
        <x:v>Referral</x:v>
      </x:c>
      <x:c r="B25" s="22"/>
      <x:c r="C25" s="2"/>
      <x:c r="D25" s="2"/>
      <x:c r="E25" s="2"/>
    </x:row>
    <x:row r="26">
      <x:c r="A26" s="2" t="str">
        <x:v>Search</x:v>
      </x:c>
      <x:c r="B26" s="22"/>
      <x:c r="C26" s="2"/>
      <x:c r="D26" s="2"/>
      <x:c r="E26" s="2"/>
    </x:row>
    <x:row r="27">
      <x:c r="A27" s="2" t="str">
        <x:v>Facebook</x:v>
      </x:c>
      <x:c r="B27" s="22"/>
      <x:c r="C27" s="2"/>
      <x:c r="D27" s="2"/>
      <x:c r="E27" s="2"/>
    </x:row>
    <x:row r="28">
      <x:c r="A28" s="2" t="str">
        <x:v>LinkedIn</x:v>
      </x:c>
      <x:c r="B28" s="22"/>
      <x:c r="C28" s="2"/>
      <x:c r="D28" s="2"/>
      <x:c r="E28" s="2"/>
    </x:row>
    <x:row r="29">
      <x:c r="A29" s="2" t="str">
        <x:v>Existing customer</x:v>
      </x:c>
      <x:c r="B29" s="22"/>
      <x:c r="C29" s="2"/>
      <x:c r="D29" s="2"/>
      <x:c r="E29" s="2"/>
    </x:row>
    <x:row r="30">
      <x:c r="A30" s="2" t="str">
        <x:v>Other</x:v>
      </x:c>
      <x:c r="B30" s="22"/>
      <x:c r="C30" s="2"/>
      <x:c r="D30" s="2"/>
      <x:c r="E30" s="2"/>
    </x:row>
    <x:row r="31">
      <x:c r="A31" s="2" t="str">
        <x:v>Unknown</x:v>
      </x:c>
      <x:c r="B31" s="2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 t="str">
        <x:v>Recorded source total</x:v>
      </x:c>
      <x:c r="B33" s="2" t="str">
        <x:f>IF(COUNT(B25:B31)&lt;7,"",SUM(B25:B31))</x:f>
      </x:c>
      <x:c r="C33" s="2"/>
      <x:c r="D33" s="2"/>
      <x:c r="E33" s="2"/>
    </x:row>
    <x:row r="34">
      <x:c r="A34" s="2" t="str">
        <x:v>Source count reconciliation</x:v>
      </x:c>
      <x:c r="B34" s="2" t="str">
        <x:f>IF(COUNT(B10,B33)&lt;2,"",B33-B10)</x:f>
      </x:c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  <x:row r="59">
      <x:c r="A59" s="2"/>
      <x:c r="B59" s="2"/>
      <x:c r="C59" s="2"/>
      <x:c r="D59" s="2"/>
      <x:c r="E59" s="2"/>
    </x:row>
    <x:row r="60">
      <x:c r="A60" s="2"/>
      <x:c r="B60" s="2"/>
      <x:c r="C60" s="2"/>
      <x:c r="D60" s="2"/>
      <x:c r="E60" s="2"/>
    </x:row>
    <x:row r="61">
      <x:c r="A61" s="2"/>
      <x:c r="B61" s="2"/>
      <x:c r="C61" s="2"/>
      <x:c r="D61" s="2"/>
      <x:c r="E61" s="2"/>
    </x:row>
    <x:row r="62">
      <x:c r="A62" s="2"/>
      <x:c r="B62" s="2"/>
      <x:c r="C62" s="2"/>
      <x:c r="D62" s="2"/>
      <x:c r="E62" s="2"/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>
      <x:c r="A65" s="2"/>
      <x:c r="B65" s="2"/>
      <x:c r="C65" s="2"/>
      <x:c r="D65" s="2"/>
      <x:c r="E65" s="2"/>
    </x:row>
    <x:row r="66">
      <x:c r="A66" s="2"/>
      <x:c r="B66" s="2"/>
      <x:c r="C66" s="2"/>
      <x:c r="D66" s="2"/>
      <x:c r="E66" s="2"/>
    </x:row>
    <x:row r="67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  <x:row r="71">
      <x:c r="A71" s="2"/>
      <x:c r="B71" s="2"/>
      <x:c r="C71" s="2"/>
      <x:c r="D71" s="2"/>
      <x:c r="E71" s="2"/>
    </x:row>
    <x:row r="72">
      <x:c r="A72" s="2"/>
      <x:c r="B72" s="2"/>
      <x:c r="C72" s="2"/>
      <x:c r="D72" s="2"/>
      <x:c r="E72" s="2"/>
    </x:row>
    <x:row r="73">
      <x:c r="A73" s="2"/>
      <x:c r="B73" s="2"/>
      <x:c r="C73" s="2"/>
      <x:c r="D73" s="2"/>
      <x:c r="E73" s="2"/>
    </x:row>
    <x:row r="74">
      <x:c r="A74" s="2"/>
      <x:c r="B74" s="2"/>
      <x:c r="C74" s="2"/>
      <x:c r="D74" s="2"/>
      <x:c r="E74" s="2"/>
    </x:row>
    <x:row r="75">
      <x:c r="A75" s="2"/>
      <x:c r="B75" s="2"/>
      <x:c r="C75" s="2"/>
      <x:c r="D75" s="2"/>
      <x:c r="E75" s="2"/>
    </x:row>
    <x:row r="76">
      <x:c r="A76" s="2"/>
      <x:c r="B76" s="2"/>
      <x:c r="C76" s="2"/>
      <x:c r="D76" s="2"/>
      <x:c r="E76" s="2"/>
    </x:row>
    <x:row r="77">
      <x:c r="A77" s="2"/>
      <x:c r="B77" s="2"/>
      <x:c r="C77" s="2"/>
      <x:c r="D77" s="2"/>
      <x:c r="E77" s="2"/>
    </x:row>
    <x:row r="78">
      <x:c r="A78" s="2"/>
      <x:c r="B78" s="2"/>
      <x:c r="C78" s="2"/>
      <x:c r="D78" s="2"/>
      <x:c r="E78" s="2"/>
    </x:row>
    <x:row r="79">
      <x:c r="A79" s="2"/>
      <x:c r="B79" s="2"/>
      <x:c r="C79" s="2"/>
      <x:c r="D79" s="2"/>
      <x:c r="E79" s="2"/>
    </x:row>
    <x:row r="80">
      <x:c r="A80" s="2"/>
      <x:c r="B80" s="2"/>
      <x:c r="C80" s="2"/>
      <x:c r="D80" s="2"/>
      <x:c r="E80" s="2"/>
    </x:row>
    <x:row r="81">
      <x:c r="A81" s="2"/>
      <x:c r="B81" s="2"/>
      <x:c r="C81" s="2"/>
      <x:c r="D81" s="2"/>
      <x:c r="E81" s="2"/>
    </x:row>
    <x:row r="82">
      <x:c r="A82" s="2"/>
      <x:c r="B82" s="2"/>
      <x:c r="C82" s="2"/>
      <x:c r="D82" s="2"/>
      <x:c r="E82" s="2"/>
    </x:row>
    <x:row r="83">
      <x:c r="A83" s="2"/>
      <x:c r="B83" s="2"/>
      <x:c r="C83" s="2"/>
      <x:c r="D83" s="2"/>
      <x:c r="E83" s="2"/>
    </x:row>
    <x:row r="84">
      <x:c r="A84" s="2"/>
      <x:c r="B84" s="2"/>
      <x:c r="C84" s="2"/>
      <x:c r="D84" s="2"/>
      <x:c r="E84" s="2"/>
    </x:row>
    <x:row r="85">
      <x:c r="A85" s="2"/>
      <x:c r="B85" s="2"/>
      <x:c r="C85" s="2"/>
      <x:c r="D85" s="2"/>
      <x:c r="E85" s="2"/>
    </x:row>
    <x:row r="86">
      <x:c r="A86" s="2"/>
      <x:c r="B86" s="2"/>
      <x:c r="C86" s="2"/>
      <x:c r="D86" s="2"/>
      <x:c r="E86" s="2"/>
    </x:row>
    <x:row r="87">
      <x:c r="A87" s="2"/>
      <x:c r="B87" s="2"/>
      <x:c r="C87" s="2"/>
      <x:c r="D87" s="2"/>
      <x:c r="E87" s="2"/>
    </x:row>
    <x:row r="88">
      <x:c r="A88" s="2"/>
      <x:c r="B88" s="2"/>
      <x:c r="C88" s="2"/>
      <x:c r="D88" s="2"/>
      <x:c r="E88" s="2"/>
    </x:row>
    <x:row r="89">
      <x:c r="A89" s="2"/>
      <x:c r="B89" s="2"/>
      <x:c r="C89" s="2"/>
      <x:c r="D89" s="2"/>
      <x:c r="E89" s="2"/>
    </x:row>
    <x:row r="90">
      <x:c r="A90" s="2"/>
      <x:c r="B90" s="2"/>
      <x:c r="C90" s="2"/>
      <x:c r="D90" s="2"/>
      <x:c r="E90" s="2"/>
    </x:row>
    <x:row r="91">
      <x:c r="A91" s="2"/>
      <x:c r="B91" s="2"/>
      <x:c r="C91" s="2"/>
      <x:c r="D91" s="2"/>
      <x:c r="E91" s="2"/>
    </x:row>
    <x:row r="92">
      <x:c r="A92" s="2"/>
      <x:c r="B92" s="2"/>
      <x:c r="C92" s="2"/>
      <x:c r="D92" s="2"/>
      <x:c r="E92" s="2"/>
    </x:row>
    <x:row r="93">
      <x:c r="A93" s="2"/>
      <x:c r="B93" s="2"/>
      <x:c r="C93" s="2"/>
      <x:c r="D93" s="2"/>
      <x:c r="E93" s="2"/>
    </x:row>
    <x:row r="94">
      <x:c r="A94" s="2"/>
      <x:c r="B94" s="2"/>
      <x:c r="C94" s="2"/>
      <x:c r="D94" s="2"/>
      <x:c r="E94" s="2"/>
    </x:row>
    <x:row r="95">
      <x:c r="A95" s="2"/>
      <x:c r="B95" s="2"/>
      <x:c r="C95" s="2"/>
      <x:c r="D95" s="2"/>
      <x:c r="E95" s="2"/>
    </x:row>
    <x:row r="96">
      <x:c r="A96" s="2"/>
      <x:c r="B96" s="2"/>
      <x:c r="C96" s="2"/>
      <x:c r="D96" s="2"/>
      <x:c r="E96" s="2"/>
    </x:row>
    <x:row r="97">
      <x:c r="A97" s="2"/>
      <x:c r="B97" s="2"/>
      <x:c r="C97" s="2"/>
      <x:c r="D97" s="2"/>
      <x:c r="E97" s="2"/>
    </x:row>
    <x:row r="98">
      <x:c r="A98" s="2"/>
      <x:c r="B98" s="2"/>
      <x:c r="C98" s="2"/>
      <x:c r="D98" s="2"/>
      <x:c r="E98" s="2"/>
    </x:row>
    <x:row r="99">
      <x:c r="A99" s="2"/>
      <x:c r="B99" s="2"/>
      <x:c r="C99" s="2"/>
      <x:c r="D99" s="2"/>
      <x:c r="E99" s="2"/>
    </x:row>
    <x:row r="100">
      <x:c r="A100" s="2"/>
      <x:c r="B100" s="2"/>
      <x:c r="C100" s="2"/>
      <x:c r="D100" s="2"/>
      <x:c r="E100" s="2"/>
    </x:row>
    <x:row r="101">
      <x:c r="A101" s="2"/>
      <x:c r="B101" s="2"/>
      <x:c r="C101" s="2"/>
      <x:c r="D101" s="2"/>
      <x:c r="E101" s="2"/>
    </x:row>
    <x:row r="102">
      <x:c r="A102" s="2"/>
      <x:c r="B102" s="2"/>
      <x:c r="C102" s="2"/>
      <x:c r="D102" s="2"/>
      <x:c r="E102" s="2"/>
    </x:row>
    <x:row r="103">
      <x:c r="A103" s="2"/>
      <x:c r="B103" s="2"/>
      <x:c r="C103" s="2"/>
      <x:c r="D103" s="2"/>
      <x:c r="E103" s="2"/>
    </x:row>
    <x:row r="104">
      <x:c r="A104" s="2"/>
      <x:c r="B104" s="2"/>
      <x:c r="C104" s="2"/>
      <x:c r="D104" s="2"/>
      <x:c r="E104" s="2"/>
    </x:row>
    <x:row r="105">
      <x:c r="A105" s="2"/>
      <x:c r="B105" s="2"/>
      <x:c r="C105" s="2"/>
      <x:c r="D105" s="2"/>
      <x:c r="E105" s="2"/>
    </x:row>
  </x:sheetData>
  <x:dataValidations count="2">
    <x:dataValidation type="decimal" operator="greaterThanOrEqual" sqref="B10:B21">
      <x:formula1>0</x:formula1>
    </x:dataValidation>
    <x:dataValidation type="decimal" operator="greaterThanOrEqual" sqref="B25:B31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7" hidden="0" customWidth="1"/>
    <x:col min="7" max="7" width="18" hidden="0" customWidth="1"/>
    <x:col min="8" max="8" width="18" hidden="0" customWidth="1"/>
    <x:col min="9" max="9" width="32" hidden="0" customWidth="1"/>
    <x:col min="10" max="10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Payment collections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One row per actual payment or planned collection. Received requires a receipt date and evidence. Do not treat proposals or won deals as cash received.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44" customHeight="1">
      <x:c r="A5" s="14" t="str">
        <x:v>Payment ID</x:v>
      </x:c>
      <x:c r="B5" s="15" t="str">
        <x:v>Project ID</x:v>
      </x:c>
      <x:c r="C5" s="15" t="str">
        <x:v>Receipt / due date</x:v>
      </x:c>
      <x:c r="D5" s="15" t="str">
        <x:v>Amount</x:v>
      </x:c>
      <x:c r="E5" s="15" t="str">
        <x:v>Currency</x:v>
      </x:c>
      <x:c r="F5" s="15" t="str">
        <x:v>Payment reference</x:v>
      </x:c>
      <x:c r="G5" s="15" t="str">
        <x:v>State</x:v>
      </x:c>
      <x:c r="H5" s="15" t="str">
        <x:v>Responsible person</x:v>
      </x:c>
      <x:c r="I5" s="15" t="str">
        <x:v>Notes</x:v>
      </x:c>
      <x:c r="J5" s="16" t="str">
        <x:v>Record status</x:v>
      </x:c>
    </x:row>
    <x:row r="6">
      <x:c r="A6" s="17"/>
      <x:c r="B6" s="17"/>
      <x:c r="C6" s="19"/>
      <x:c r="D6" s="20"/>
      <x:c r="E6" s="17"/>
      <x:c r="F6" s="17"/>
      <x:c r="G6" s="17"/>
      <x:c r="H6" s="17"/>
      <x:c r="I6" s="17"/>
      <x:c r="J6" s="2" t="str">
        <x:f>IF(A6="","",IF(COUNTIF($A$6:$A$105,A6)&gt;1,"Duplicate ID",IF(G6&lt;&gt;"Received","Not received",IF(AND(B6&lt;&gt;"",ISNUMBER(C6),ISNUMBER(D6),E6&lt;&gt;"",F6&lt;&gt;""),"Counted","Incomplete"))))</x:f>
      </x:c>
    </x:row>
    <x:row r="7">
      <x:c r="A7" s="17"/>
      <x:c r="B7" s="17"/>
      <x:c r="C7" s="19"/>
      <x:c r="D7" s="20"/>
      <x:c r="E7" s="17"/>
      <x:c r="F7" s="17"/>
      <x:c r="G7" s="17"/>
      <x:c r="H7" s="17"/>
      <x:c r="I7" s="17"/>
      <x:c r="J7" s="2" t="str">
        <x:f>IF(A7="","",IF(COUNTIF($A$6:$A$105,A7)&gt;1,"Duplicate ID",IF(G7&lt;&gt;"Received","Not received",IF(AND(B7&lt;&gt;"",ISNUMBER(C7),ISNUMBER(D7),E7&lt;&gt;"",F7&lt;&gt;""),"Counted","Incomplete"))))</x:f>
      </x:c>
    </x:row>
    <x:row r="8">
      <x:c r="A8" s="17"/>
      <x:c r="B8" s="17"/>
      <x:c r="C8" s="19"/>
      <x:c r="D8" s="20"/>
      <x:c r="E8" s="17"/>
      <x:c r="F8" s="17"/>
      <x:c r="G8" s="17"/>
      <x:c r="H8" s="17"/>
      <x:c r="I8" s="17"/>
      <x:c r="J8" s="2" t="str">
        <x:f>IF(A8="","",IF(COUNTIF($A$6:$A$105,A8)&gt;1,"Duplicate ID",IF(G8&lt;&gt;"Received","Not received",IF(AND(B8&lt;&gt;"",ISNUMBER(C8),ISNUMBER(D8),E8&lt;&gt;"",F8&lt;&gt;""),"Counted","Incomplete"))))</x:f>
      </x:c>
    </x:row>
    <x:row r="9">
      <x:c r="A9" s="17"/>
      <x:c r="B9" s="17"/>
      <x:c r="C9" s="19"/>
      <x:c r="D9" s="20"/>
      <x:c r="E9" s="17"/>
      <x:c r="F9" s="17"/>
      <x:c r="G9" s="17"/>
      <x:c r="H9" s="17"/>
      <x:c r="I9" s="17"/>
      <x:c r="J9" s="2" t="str">
        <x:f>IF(A9="","",IF(COUNTIF($A$6:$A$105,A9)&gt;1,"Duplicate ID",IF(G9&lt;&gt;"Received","Not received",IF(AND(B9&lt;&gt;"",ISNUMBER(C9),ISNUMBER(D9),E9&lt;&gt;"",F9&lt;&gt;""),"Counted","Incomplete"))))</x:f>
      </x:c>
    </x:row>
    <x:row r="10">
      <x:c r="A10" s="17"/>
      <x:c r="B10" s="17"/>
      <x:c r="C10" s="19"/>
      <x:c r="D10" s="20"/>
      <x:c r="E10" s="17"/>
      <x:c r="F10" s="17"/>
      <x:c r="G10" s="17"/>
      <x:c r="H10" s="17"/>
      <x:c r="I10" s="17"/>
      <x:c r="J10" s="2" t="str">
        <x:f>IF(A10="","",IF(COUNTIF($A$6:$A$105,A10)&gt;1,"Duplicate ID",IF(G10&lt;&gt;"Received","Not received",IF(AND(B10&lt;&gt;"",ISNUMBER(C10),ISNUMBER(D10),E10&lt;&gt;"",F10&lt;&gt;""),"Counted","Incomplete"))))</x:f>
      </x:c>
    </x:row>
    <x:row r="11">
      <x:c r="A11" s="17"/>
      <x:c r="B11" s="17"/>
      <x:c r="C11" s="19"/>
      <x:c r="D11" s="20"/>
      <x:c r="E11" s="17"/>
      <x:c r="F11" s="17"/>
      <x:c r="G11" s="17"/>
      <x:c r="H11" s="17"/>
      <x:c r="I11" s="17"/>
      <x:c r="J11" s="2" t="str">
        <x:f>IF(A11="","",IF(COUNTIF($A$6:$A$105,A11)&gt;1,"Duplicate ID",IF(G11&lt;&gt;"Received","Not received",IF(AND(B11&lt;&gt;"",ISNUMBER(C11),ISNUMBER(D11),E11&lt;&gt;"",F11&lt;&gt;""),"Counted","Incomplete"))))</x:f>
      </x:c>
    </x:row>
    <x:row r="12">
      <x:c r="A12" s="17"/>
      <x:c r="B12" s="17"/>
      <x:c r="C12" s="19"/>
      <x:c r="D12" s="20"/>
      <x:c r="E12" s="17"/>
      <x:c r="F12" s="17"/>
      <x:c r="G12" s="17"/>
      <x:c r="H12" s="17"/>
      <x:c r="I12" s="17"/>
      <x:c r="J12" s="2" t="str">
        <x:f>IF(A12="","",IF(COUNTIF($A$6:$A$105,A12)&gt;1,"Duplicate ID",IF(G12&lt;&gt;"Received","Not received",IF(AND(B12&lt;&gt;"",ISNUMBER(C12),ISNUMBER(D12),E12&lt;&gt;"",F12&lt;&gt;""),"Counted","Incomplete"))))</x:f>
      </x:c>
    </x:row>
    <x:row r="13">
      <x:c r="A13" s="17"/>
      <x:c r="B13" s="17"/>
      <x:c r="C13" s="19"/>
      <x:c r="D13" s="20"/>
      <x:c r="E13" s="17"/>
      <x:c r="F13" s="17"/>
      <x:c r="G13" s="17"/>
      <x:c r="H13" s="17"/>
      <x:c r="I13" s="17"/>
      <x:c r="J13" s="2" t="str">
        <x:f>IF(A13="","",IF(COUNTIF($A$6:$A$105,A13)&gt;1,"Duplicate ID",IF(G13&lt;&gt;"Received","Not received",IF(AND(B13&lt;&gt;"",ISNUMBER(C13),ISNUMBER(D13),E13&lt;&gt;"",F13&lt;&gt;""),"Counted","Incomplete"))))</x:f>
      </x:c>
    </x:row>
    <x:row r="14">
      <x:c r="A14" s="17"/>
      <x:c r="B14" s="17"/>
      <x:c r="C14" s="19"/>
      <x:c r="D14" s="20"/>
      <x:c r="E14" s="17"/>
      <x:c r="F14" s="17"/>
      <x:c r="G14" s="17"/>
      <x:c r="H14" s="17"/>
      <x:c r="I14" s="17"/>
      <x:c r="J14" s="2" t="str">
        <x:f>IF(A14="","",IF(COUNTIF($A$6:$A$105,A14)&gt;1,"Duplicate ID",IF(G14&lt;&gt;"Received","Not received",IF(AND(B14&lt;&gt;"",ISNUMBER(C14),ISNUMBER(D14),E14&lt;&gt;"",F14&lt;&gt;""),"Counted","Incomplete"))))</x:f>
      </x:c>
    </x:row>
    <x:row r="15">
      <x:c r="A15" s="17"/>
      <x:c r="B15" s="17"/>
      <x:c r="C15" s="19"/>
      <x:c r="D15" s="20"/>
      <x:c r="E15" s="17"/>
      <x:c r="F15" s="17"/>
      <x:c r="G15" s="17"/>
      <x:c r="H15" s="17"/>
      <x:c r="I15" s="17"/>
      <x:c r="J15" s="2" t="str">
        <x:f>IF(A15="","",IF(COUNTIF($A$6:$A$105,A15)&gt;1,"Duplicate ID",IF(G15&lt;&gt;"Received","Not received",IF(AND(B15&lt;&gt;"",ISNUMBER(C15),ISNUMBER(D15),E15&lt;&gt;"",F15&lt;&gt;""),"Counted","Incomplete"))))</x:f>
      </x:c>
    </x:row>
    <x:row r="16">
      <x:c r="A16" s="17"/>
      <x:c r="B16" s="17"/>
      <x:c r="C16" s="19"/>
      <x:c r="D16" s="20"/>
      <x:c r="E16" s="17"/>
      <x:c r="F16" s="17"/>
      <x:c r="G16" s="17"/>
      <x:c r="H16" s="17"/>
      <x:c r="I16" s="17"/>
      <x:c r="J16" s="2" t="str">
        <x:f>IF(A16="","",IF(COUNTIF($A$6:$A$105,A16)&gt;1,"Duplicate ID",IF(G16&lt;&gt;"Received","Not received",IF(AND(B16&lt;&gt;"",ISNUMBER(C16),ISNUMBER(D16),E16&lt;&gt;"",F16&lt;&gt;""),"Counted","Incomplete"))))</x:f>
      </x:c>
    </x:row>
    <x:row r="17">
      <x:c r="A17" s="17"/>
      <x:c r="B17" s="17"/>
      <x:c r="C17" s="19"/>
      <x:c r="D17" s="20"/>
      <x:c r="E17" s="17"/>
      <x:c r="F17" s="17"/>
      <x:c r="G17" s="17"/>
      <x:c r="H17" s="17"/>
      <x:c r="I17" s="17"/>
      <x:c r="J17" s="2" t="str">
        <x:f>IF(A17="","",IF(COUNTIF($A$6:$A$105,A17)&gt;1,"Duplicate ID",IF(G17&lt;&gt;"Received","Not received",IF(AND(B17&lt;&gt;"",ISNUMBER(C17),ISNUMBER(D17),E17&lt;&gt;"",F17&lt;&gt;""),"Counted","Incomplete"))))</x:f>
      </x:c>
    </x:row>
    <x:row r="18">
      <x:c r="A18" s="17"/>
      <x:c r="B18" s="17"/>
      <x:c r="C18" s="19"/>
      <x:c r="D18" s="20"/>
      <x:c r="E18" s="17"/>
      <x:c r="F18" s="17"/>
      <x:c r="G18" s="17"/>
      <x:c r="H18" s="17"/>
      <x:c r="I18" s="17"/>
      <x:c r="J18" s="2" t="str">
        <x:f>IF(A18="","",IF(COUNTIF($A$6:$A$105,A18)&gt;1,"Duplicate ID",IF(G18&lt;&gt;"Received","Not received",IF(AND(B18&lt;&gt;"",ISNUMBER(C18),ISNUMBER(D18),E18&lt;&gt;"",F18&lt;&gt;""),"Counted","Incomplete"))))</x:f>
      </x:c>
    </x:row>
    <x:row r="19">
      <x:c r="A19" s="17"/>
      <x:c r="B19" s="17"/>
      <x:c r="C19" s="19"/>
      <x:c r="D19" s="20"/>
      <x:c r="E19" s="17"/>
      <x:c r="F19" s="17"/>
      <x:c r="G19" s="17"/>
      <x:c r="H19" s="17"/>
      <x:c r="I19" s="17"/>
      <x:c r="J19" s="2" t="str">
        <x:f>IF(A19="","",IF(COUNTIF($A$6:$A$105,A19)&gt;1,"Duplicate ID",IF(G19&lt;&gt;"Received","Not received",IF(AND(B19&lt;&gt;"",ISNUMBER(C19),ISNUMBER(D19),E19&lt;&gt;"",F19&lt;&gt;""),"Counted","Incomplete"))))</x:f>
      </x:c>
    </x:row>
    <x:row r="20">
      <x:c r="A20" s="17"/>
      <x:c r="B20" s="17"/>
      <x:c r="C20" s="19"/>
      <x:c r="D20" s="20"/>
      <x:c r="E20" s="17"/>
      <x:c r="F20" s="17"/>
      <x:c r="G20" s="17"/>
      <x:c r="H20" s="17"/>
      <x:c r="I20" s="17"/>
      <x:c r="J20" s="2" t="str">
        <x:f>IF(A20="","",IF(COUNTIF($A$6:$A$105,A20)&gt;1,"Duplicate ID",IF(G20&lt;&gt;"Received","Not received",IF(AND(B20&lt;&gt;"",ISNUMBER(C20),ISNUMBER(D20),E20&lt;&gt;"",F20&lt;&gt;""),"Counted","Incomplete"))))</x:f>
      </x:c>
    </x:row>
    <x:row r="21">
      <x:c r="A21" s="17"/>
      <x:c r="B21" s="17"/>
      <x:c r="C21" s="19"/>
      <x:c r="D21" s="20"/>
      <x:c r="E21" s="17"/>
      <x:c r="F21" s="17"/>
      <x:c r="G21" s="17"/>
      <x:c r="H21" s="17"/>
      <x:c r="I21" s="17"/>
      <x:c r="J21" s="2" t="str">
        <x:f>IF(A21="","",IF(COUNTIF($A$6:$A$105,A21)&gt;1,"Duplicate ID",IF(G21&lt;&gt;"Received","Not received",IF(AND(B21&lt;&gt;"",ISNUMBER(C21),ISNUMBER(D21),E21&lt;&gt;"",F21&lt;&gt;""),"Counted","Incomplete"))))</x:f>
      </x:c>
    </x:row>
    <x:row r="22">
      <x:c r="A22" s="17"/>
      <x:c r="B22" s="17"/>
      <x:c r="C22" s="19"/>
      <x:c r="D22" s="20"/>
      <x:c r="E22" s="17"/>
      <x:c r="F22" s="17"/>
      <x:c r="G22" s="17"/>
      <x:c r="H22" s="17"/>
      <x:c r="I22" s="17"/>
      <x:c r="J22" s="2" t="str">
        <x:f>IF(A22="","",IF(COUNTIF($A$6:$A$105,A22)&gt;1,"Duplicate ID",IF(G22&lt;&gt;"Received","Not received",IF(AND(B22&lt;&gt;"",ISNUMBER(C22),ISNUMBER(D22),E22&lt;&gt;"",F22&lt;&gt;""),"Counted","Incomplete"))))</x:f>
      </x:c>
    </x:row>
    <x:row r="23">
      <x:c r="A23" s="17"/>
      <x:c r="B23" s="17"/>
      <x:c r="C23" s="19"/>
      <x:c r="D23" s="20"/>
      <x:c r="E23" s="17"/>
      <x:c r="F23" s="17"/>
      <x:c r="G23" s="17"/>
      <x:c r="H23" s="17"/>
      <x:c r="I23" s="17"/>
      <x:c r="J23" s="2" t="str">
        <x:f>IF(A23="","",IF(COUNTIF($A$6:$A$105,A23)&gt;1,"Duplicate ID",IF(G23&lt;&gt;"Received","Not received",IF(AND(B23&lt;&gt;"",ISNUMBER(C23),ISNUMBER(D23),E23&lt;&gt;"",F23&lt;&gt;""),"Counted","Incomplete"))))</x:f>
      </x:c>
    </x:row>
    <x:row r="24">
      <x:c r="A24" s="17"/>
      <x:c r="B24" s="17"/>
      <x:c r="C24" s="19"/>
      <x:c r="D24" s="20"/>
      <x:c r="E24" s="17"/>
      <x:c r="F24" s="17"/>
      <x:c r="G24" s="17"/>
      <x:c r="H24" s="17"/>
      <x:c r="I24" s="17"/>
      <x:c r="J24" s="2" t="str">
        <x:f>IF(A24="","",IF(COUNTIF($A$6:$A$105,A24)&gt;1,"Duplicate ID",IF(G24&lt;&gt;"Received","Not received",IF(AND(B24&lt;&gt;"",ISNUMBER(C24),ISNUMBER(D24),E24&lt;&gt;"",F24&lt;&gt;""),"Counted","Incomplete"))))</x:f>
      </x:c>
    </x:row>
    <x:row r="25">
      <x:c r="A25" s="17"/>
      <x:c r="B25" s="17"/>
      <x:c r="C25" s="19"/>
      <x:c r="D25" s="20"/>
      <x:c r="E25" s="17"/>
      <x:c r="F25" s="17"/>
      <x:c r="G25" s="17"/>
      <x:c r="H25" s="17"/>
      <x:c r="I25" s="17"/>
      <x:c r="J25" s="2" t="str">
        <x:f>IF(A25="","",IF(COUNTIF($A$6:$A$105,A25)&gt;1,"Duplicate ID",IF(G25&lt;&gt;"Received","Not received",IF(AND(B25&lt;&gt;"",ISNUMBER(C25),ISNUMBER(D25),E25&lt;&gt;"",F25&lt;&gt;""),"Counted","Incomplete"))))</x:f>
      </x:c>
    </x:row>
    <x:row r="26">
      <x:c r="A26" s="17"/>
      <x:c r="B26" s="17"/>
      <x:c r="C26" s="19"/>
      <x:c r="D26" s="20"/>
      <x:c r="E26" s="17"/>
      <x:c r="F26" s="17"/>
      <x:c r="G26" s="17"/>
      <x:c r="H26" s="17"/>
      <x:c r="I26" s="17"/>
      <x:c r="J26" s="2" t="str">
        <x:f>IF(A26="","",IF(COUNTIF($A$6:$A$105,A26)&gt;1,"Duplicate ID",IF(G26&lt;&gt;"Received","Not received",IF(AND(B26&lt;&gt;"",ISNUMBER(C26),ISNUMBER(D26),E26&lt;&gt;"",F26&lt;&gt;""),"Counted","Incomplete"))))</x:f>
      </x:c>
    </x:row>
    <x:row r="27">
      <x:c r="A27" s="17"/>
      <x:c r="B27" s="17"/>
      <x:c r="C27" s="19"/>
      <x:c r="D27" s="20"/>
      <x:c r="E27" s="17"/>
      <x:c r="F27" s="17"/>
      <x:c r="G27" s="17"/>
      <x:c r="H27" s="17"/>
      <x:c r="I27" s="17"/>
      <x:c r="J27" s="2" t="str">
        <x:f>IF(A27="","",IF(COUNTIF($A$6:$A$105,A27)&gt;1,"Duplicate ID",IF(G27&lt;&gt;"Received","Not received",IF(AND(B27&lt;&gt;"",ISNUMBER(C27),ISNUMBER(D27),E27&lt;&gt;"",F27&lt;&gt;""),"Counted","Incomplete"))))</x:f>
      </x:c>
    </x:row>
    <x:row r="28">
      <x:c r="A28" s="17"/>
      <x:c r="B28" s="17"/>
      <x:c r="C28" s="19"/>
      <x:c r="D28" s="20"/>
      <x:c r="E28" s="17"/>
      <x:c r="F28" s="17"/>
      <x:c r="G28" s="17"/>
      <x:c r="H28" s="17"/>
      <x:c r="I28" s="17"/>
      <x:c r="J28" s="2" t="str">
        <x:f>IF(A28="","",IF(COUNTIF($A$6:$A$105,A28)&gt;1,"Duplicate ID",IF(G28&lt;&gt;"Received","Not received",IF(AND(B28&lt;&gt;"",ISNUMBER(C28),ISNUMBER(D28),E28&lt;&gt;"",F28&lt;&gt;""),"Counted","Incomplete"))))</x:f>
      </x:c>
    </x:row>
    <x:row r="29">
      <x:c r="A29" s="17"/>
      <x:c r="B29" s="17"/>
      <x:c r="C29" s="19"/>
      <x:c r="D29" s="20"/>
      <x:c r="E29" s="17"/>
      <x:c r="F29" s="17"/>
      <x:c r="G29" s="17"/>
      <x:c r="H29" s="17"/>
      <x:c r="I29" s="17"/>
      <x:c r="J29" s="2" t="str">
        <x:f>IF(A29="","",IF(COUNTIF($A$6:$A$105,A29)&gt;1,"Duplicate ID",IF(G29&lt;&gt;"Received","Not received",IF(AND(B29&lt;&gt;"",ISNUMBER(C29),ISNUMBER(D29),E29&lt;&gt;"",F29&lt;&gt;""),"Counted","Incomplete"))))</x:f>
      </x:c>
    </x:row>
    <x:row r="30">
      <x:c r="A30" s="17"/>
      <x:c r="B30" s="17"/>
      <x:c r="C30" s="19"/>
      <x:c r="D30" s="20"/>
      <x:c r="E30" s="17"/>
      <x:c r="F30" s="17"/>
      <x:c r="G30" s="17"/>
      <x:c r="H30" s="17"/>
      <x:c r="I30" s="17"/>
      <x:c r="J30" s="2" t="str">
        <x:f>IF(A30="","",IF(COUNTIF($A$6:$A$105,A30)&gt;1,"Duplicate ID",IF(G30&lt;&gt;"Received","Not received",IF(AND(B30&lt;&gt;"",ISNUMBER(C30),ISNUMBER(D30),E30&lt;&gt;"",F30&lt;&gt;""),"Counted","Incomplete"))))</x:f>
      </x:c>
    </x:row>
    <x:row r="31">
      <x:c r="A31" s="17"/>
      <x:c r="B31" s="17"/>
      <x:c r="C31" s="19"/>
      <x:c r="D31" s="20"/>
      <x:c r="E31" s="17"/>
      <x:c r="F31" s="17"/>
      <x:c r="G31" s="17"/>
      <x:c r="H31" s="17"/>
      <x:c r="I31" s="17"/>
      <x:c r="J31" s="2" t="str">
        <x:f>IF(A31="","",IF(COUNTIF($A$6:$A$105,A31)&gt;1,"Duplicate ID",IF(G31&lt;&gt;"Received","Not received",IF(AND(B31&lt;&gt;"",ISNUMBER(C31),ISNUMBER(D31),E31&lt;&gt;"",F31&lt;&gt;""),"Counted","Incomplete"))))</x:f>
      </x:c>
    </x:row>
    <x:row r="32">
      <x:c r="A32" s="17"/>
      <x:c r="B32" s="17"/>
      <x:c r="C32" s="19"/>
      <x:c r="D32" s="20"/>
      <x:c r="E32" s="17"/>
      <x:c r="F32" s="17"/>
      <x:c r="G32" s="17"/>
      <x:c r="H32" s="17"/>
      <x:c r="I32" s="17"/>
      <x:c r="J32" s="2" t="str">
        <x:f>IF(A32="","",IF(COUNTIF($A$6:$A$105,A32)&gt;1,"Duplicate ID",IF(G32&lt;&gt;"Received","Not received",IF(AND(B32&lt;&gt;"",ISNUMBER(C32),ISNUMBER(D32),E32&lt;&gt;"",F32&lt;&gt;""),"Counted","Incomplete"))))</x:f>
      </x:c>
    </x:row>
    <x:row r="33">
      <x:c r="A33" s="17"/>
      <x:c r="B33" s="17"/>
      <x:c r="C33" s="19"/>
      <x:c r="D33" s="20"/>
      <x:c r="E33" s="17"/>
      <x:c r="F33" s="17"/>
      <x:c r="G33" s="17"/>
      <x:c r="H33" s="17"/>
      <x:c r="I33" s="17"/>
      <x:c r="J33" s="2" t="str">
        <x:f>IF(A33="","",IF(COUNTIF($A$6:$A$105,A33)&gt;1,"Duplicate ID",IF(G33&lt;&gt;"Received","Not received",IF(AND(B33&lt;&gt;"",ISNUMBER(C33),ISNUMBER(D33),E33&lt;&gt;"",F33&lt;&gt;""),"Counted","Incomplete"))))</x:f>
      </x:c>
    </x:row>
    <x:row r="34">
      <x:c r="A34" s="17"/>
      <x:c r="B34" s="17"/>
      <x:c r="C34" s="19"/>
      <x:c r="D34" s="20"/>
      <x:c r="E34" s="17"/>
      <x:c r="F34" s="17"/>
      <x:c r="G34" s="17"/>
      <x:c r="H34" s="17"/>
      <x:c r="I34" s="17"/>
      <x:c r="J34" s="2" t="str">
        <x:f>IF(A34="","",IF(COUNTIF($A$6:$A$105,A34)&gt;1,"Duplicate ID",IF(G34&lt;&gt;"Received","Not received",IF(AND(B34&lt;&gt;"",ISNUMBER(C34),ISNUMBER(D34),E34&lt;&gt;"",F34&lt;&gt;""),"Counted","Incomplete"))))</x:f>
      </x:c>
    </x:row>
    <x:row r="35">
      <x:c r="A35" s="17"/>
      <x:c r="B35" s="17"/>
      <x:c r="C35" s="19"/>
      <x:c r="D35" s="20"/>
      <x:c r="E35" s="17"/>
      <x:c r="F35" s="17"/>
      <x:c r="G35" s="17"/>
      <x:c r="H35" s="17"/>
      <x:c r="I35" s="17"/>
      <x:c r="J35" s="2" t="str">
        <x:f>IF(A35="","",IF(COUNTIF($A$6:$A$105,A35)&gt;1,"Duplicate ID",IF(G35&lt;&gt;"Received","Not received",IF(AND(B35&lt;&gt;"",ISNUMBER(C35),ISNUMBER(D35),E35&lt;&gt;"",F35&lt;&gt;""),"Counted","Incomplete"))))</x:f>
      </x:c>
    </x:row>
    <x:row r="36">
      <x:c r="A36" s="17"/>
      <x:c r="B36" s="17"/>
      <x:c r="C36" s="19"/>
      <x:c r="D36" s="20"/>
      <x:c r="E36" s="17"/>
      <x:c r="F36" s="17"/>
      <x:c r="G36" s="17"/>
      <x:c r="H36" s="17"/>
      <x:c r="I36" s="17"/>
      <x:c r="J36" s="2" t="str">
        <x:f>IF(A36="","",IF(COUNTIF($A$6:$A$105,A36)&gt;1,"Duplicate ID",IF(G36&lt;&gt;"Received","Not received",IF(AND(B36&lt;&gt;"",ISNUMBER(C36),ISNUMBER(D36),E36&lt;&gt;"",F36&lt;&gt;""),"Counted","Incomplete"))))</x:f>
      </x:c>
    </x:row>
    <x:row r="37">
      <x:c r="A37" s="17"/>
      <x:c r="B37" s="17"/>
      <x:c r="C37" s="19"/>
      <x:c r="D37" s="20"/>
      <x:c r="E37" s="17"/>
      <x:c r="F37" s="17"/>
      <x:c r="G37" s="17"/>
      <x:c r="H37" s="17"/>
      <x:c r="I37" s="17"/>
      <x:c r="J37" s="2" t="str">
        <x:f>IF(A37="","",IF(COUNTIF($A$6:$A$105,A37)&gt;1,"Duplicate ID",IF(G37&lt;&gt;"Received","Not received",IF(AND(B37&lt;&gt;"",ISNUMBER(C37),ISNUMBER(D37),E37&lt;&gt;"",F37&lt;&gt;""),"Counted","Incomplete"))))</x:f>
      </x:c>
    </x:row>
    <x:row r="38">
      <x:c r="A38" s="17"/>
      <x:c r="B38" s="17"/>
      <x:c r="C38" s="19"/>
      <x:c r="D38" s="20"/>
      <x:c r="E38" s="17"/>
      <x:c r="F38" s="17"/>
      <x:c r="G38" s="17"/>
      <x:c r="H38" s="17"/>
      <x:c r="I38" s="17"/>
      <x:c r="J38" s="2" t="str">
        <x:f>IF(A38="","",IF(COUNTIF($A$6:$A$105,A38)&gt;1,"Duplicate ID",IF(G38&lt;&gt;"Received","Not received",IF(AND(B38&lt;&gt;"",ISNUMBER(C38),ISNUMBER(D38),E38&lt;&gt;"",F38&lt;&gt;""),"Counted","Incomplete"))))</x:f>
      </x:c>
    </x:row>
    <x:row r="39">
      <x:c r="A39" s="17"/>
      <x:c r="B39" s="17"/>
      <x:c r="C39" s="19"/>
      <x:c r="D39" s="20"/>
      <x:c r="E39" s="17"/>
      <x:c r="F39" s="17"/>
      <x:c r="G39" s="17"/>
      <x:c r="H39" s="17"/>
      <x:c r="I39" s="17"/>
      <x:c r="J39" s="2" t="str">
        <x:f>IF(A39="","",IF(COUNTIF($A$6:$A$105,A39)&gt;1,"Duplicate ID",IF(G39&lt;&gt;"Received","Not received",IF(AND(B39&lt;&gt;"",ISNUMBER(C39),ISNUMBER(D39),E39&lt;&gt;"",F39&lt;&gt;""),"Counted","Incomplete"))))</x:f>
      </x:c>
    </x:row>
    <x:row r="40">
      <x:c r="A40" s="17"/>
      <x:c r="B40" s="17"/>
      <x:c r="C40" s="19"/>
      <x:c r="D40" s="20"/>
      <x:c r="E40" s="17"/>
      <x:c r="F40" s="17"/>
      <x:c r="G40" s="17"/>
      <x:c r="H40" s="17"/>
      <x:c r="I40" s="17"/>
      <x:c r="J40" s="2" t="str">
        <x:f>IF(A40="","",IF(COUNTIF($A$6:$A$105,A40)&gt;1,"Duplicate ID",IF(G40&lt;&gt;"Received","Not received",IF(AND(B40&lt;&gt;"",ISNUMBER(C40),ISNUMBER(D40),E40&lt;&gt;"",F40&lt;&gt;""),"Counted","Incomplete"))))</x:f>
      </x:c>
    </x:row>
    <x:row r="41">
      <x:c r="A41" s="17"/>
      <x:c r="B41" s="17"/>
      <x:c r="C41" s="19"/>
      <x:c r="D41" s="20"/>
      <x:c r="E41" s="17"/>
      <x:c r="F41" s="17"/>
      <x:c r="G41" s="17"/>
      <x:c r="H41" s="17"/>
      <x:c r="I41" s="17"/>
      <x:c r="J41" s="2" t="str">
        <x:f>IF(A41="","",IF(COUNTIF($A$6:$A$105,A41)&gt;1,"Duplicate ID",IF(G41&lt;&gt;"Received","Not received",IF(AND(B41&lt;&gt;"",ISNUMBER(C41),ISNUMBER(D41),E41&lt;&gt;"",F41&lt;&gt;""),"Counted","Incomplete"))))</x:f>
      </x:c>
    </x:row>
    <x:row r="42">
      <x:c r="A42" s="17"/>
      <x:c r="B42" s="17"/>
      <x:c r="C42" s="19"/>
      <x:c r="D42" s="20"/>
      <x:c r="E42" s="17"/>
      <x:c r="F42" s="17"/>
      <x:c r="G42" s="17"/>
      <x:c r="H42" s="17"/>
      <x:c r="I42" s="17"/>
      <x:c r="J42" s="2" t="str">
        <x:f>IF(A42="","",IF(COUNTIF($A$6:$A$105,A42)&gt;1,"Duplicate ID",IF(G42&lt;&gt;"Received","Not received",IF(AND(B42&lt;&gt;"",ISNUMBER(C42),ISNUMBER(D42),E42&lt;&gt;"",F42&lt;&gt;""),"Counted","Incomplete"))))</x:f>
      </x:c>
    </x:row>
    <x:row r="43">
      <x:c r="A43" s="17"/>
      <x:c r="B43" s="17"/>
      <x:c r="C43" s="19"/>
      <x:c r="D43" s="20"/>
      <x:c r="E43" s="17"/>
      <x:c r="F43" s="17"/>
      <x:c r="G43" s="17"/>
      <x:c r="H43" s="17"/>
      <x:c r="I43" s="17"/>
      <x:c r="J43" s="2" t="str">
        <x:f>IF(A43="","",IF(COUNTIF($A$6:$A$105,A43)&gt;1,"Duplicate ID",IF(G43&lt;&gt;"Received","Not received",IF(AND(B43&lt;&gt;"",ISNUMBER(C43),ISNUMBER(D43),E43&lt;&gt;"",F43&lt;&gt;""),"Counted","Incomplete"))))</x:f>
      </x:c>
    </x:row>
    <x:row r="44">
      <x:c r="A44" s="17"/>
      <x:c r="B44" s="17"/>
      <x:c r="C44" s="19"/>
      <x:c r="D44" s="20"/>
      <x:c r="E44" s="17"/>
      <x:c r="F44" s="17"/>
      <x:c r="G44" s="17"/>
      <x:c r="H44" s="17"/>
      <x:c r="I44" s="17"/>
      <x:c r="J44" s="2" t="str">
        <x:f>IF(A44="","",IF(COUNTIF($A$6:$A$105,A44)&gt;1,"Duplicate ID",IF(G44&lt;&gt;"Received","Not received",IF(AND(B44&lt;&gt;"",ISNUMBER(C44),ISNUMBER(D44),E44&lt;&gt;"",F44&lt;&gt;""),"Counted","Incomplete"))))</x:f>
      </x:c>
    </x:row>
    <x:row r="45">
      <x:c r="A45" s="17"/>
      <x:c r="B45" s="17"/>
      <x:c r="C45" s="19"/>
      <x:c r="D45" s="20"/>
      <x:c r="E45" s="17"/>
      <x:c r="F45" s="17"/>
      <x:c r="G45" s="17"/>
      <x:c r="H45" s="17"/>
      <x:c r="I45" s="17"/>
      <x:c r="J45" s="2" t="str">
        <x:f>IF(A45="","",IF(COUNTIF($A$6:$A$105,A45)&gt;1,"Duplicate ID",IF(G45&lt;&gt;"Received","Not received",IF(AND(B45&lt;&gt;"",ISNUMBER(C45),ISNUMBER(D45),E45&lt;&gt;"",F45&lt;&gt;""),"Counted","Incomplete"))))</x:f>
      </x:c>
    </x:row>
    <x:row r="46">
      <x:c r="A46" s="17"/>
      <x:c r="B46" s="17"/>
      <x:c r="C46" s="19"/>
      <x:c r="D46" s="20"/>
      <x:c r="E46" s="17"/>
      <x:c r="F46" s="17"/>
      <x:c r="G46" s="17"/>
      <x:c r="H46" s="17"/>
      <x:c r="I46" s="17"/>
      <x:c r="J46" s="2" t="str">
        <x:f>IF(A46="","",IF(COUNTIF($A$6:$A$105,A46)&gt;1,"Duplicate ID",IF(G46&lt;&gt;"Received","Not received",IF(AND(B46&lt;&gt;"",ISNUMBER(C46),ISNUMBER(D46),E46&lt;&gt;"",F46&lt;&gt;""),"Counted","Incomplete"))))</x:f>
      </x:c>
    </x:row>
    <x:row r="47">
      <x:c r="A47" s="17"/>
      <x:c r="B47" s="17"/>
      <x:c r="C47" s="19"/>
      <x:c r="D47" s="20"/>
      <x:c r="E47" s="17"/>
      <x:c r="F47" s="17"/>
      <x:c r="G47" s="17"/>
      <x:c r="H47" s="17"/>
      <x:c r="I47" s="17"/>
      <x:c r="J47" s="2" t="str">
        <x:f>IF(A47="","",IF(COUNTIF($A$6:$A$105,A47)&gt;1,"Duplicate ID",IF(G47&lt;&gt;"Received","Not received",IF(AND(B47&lt;&gt;"",ISNUMBER(C47),ISNUMBER(D47),E47&lt;&gt;"",F47&lt;&gt;""),"Counted","Incomplete"))))</x:f>
      </x:c>
    </x:row>
    <x:row r="48">
      <x:c r="A48" s="17"/>
      <x:c r="B48" s="17"/>
      <x:c r="C48" s="19"/>
      <x:c r="D48" s="20"/>
      <x:c r="E48" s="17"/>
      <x:c r="F48" s="17"/>
      <x:c r="G48" s="17"/>
      <x:c r="H48" s="17"/>
      <x:c r="I48" s="17"/>
      <x:c r="J48" s="2" t="str">
        <x:f>IF(A48="","",IF(COUNTIF($A$6:$A$105,A48)&gt;1,"Duplicate ID",IF(G48&lt;&gt;"Received","Not received",IF(AND(B48&lt;&gt;"",ISNUMBER(C48),ISNUMBER(D48),E48&lt;&gt;"",F48&lt;&gt;""),"Counted","Incomplete"))))</x:f>
      </x:c>
    </x:row>
    <x:row r="49">
      <x:c r="A49" s="17"/>
      <x:c r="B49" s="17"/>
      <x:c r="C49" s="19"/>
      <x:c r="D49" s="20"/>
      <x:c r="E49" s="17"/>
      <x:c r="F49" s="17"/>
      <x:c r="G49" s="17"/>
      <x:c r="H49" s="17"/>
      <x:c r="I49" s="17"/>
      <x:c r="J49" s="2" t="str">
        <x:f>IF(A49="","",IF(COUNTIF($A$6:$A$105,A49)&gt;1,"Duplicate ID",IF(G49&lt;&gt;"Received","Not received",IF(AND(B49&lt;&gt;"",ISNUMBER(C49),ISNUMBER(D49),E49&lt;&gt;"",F49&lt;&gt;""),"Counted","Incomplete"))))</x:f>
      </x:c>
    </x:row>
    <x:row r="50">
      <x:c r="A50" s="17"/>
      <x:c r="B50" s="17"/>
      <x:c r="C50" s="19"/>
      <x:c r="D50" s="20"/>
      <x:c r="E50" s="17"/>
      <x:c r="F50" s="17"/>
      <x:c r="G50" s="17"/>
      <x:c r="H50" s="17"/>
      <x:c r="I50" s="17"/>
      <x:c r="J50" s="2" t="str">
        <x:f>IF(A50="","",IF(COUNTIF($A$6:$A$105,A50)&gt;1,"Duplicate ID",IF(G50&lt;&gt;"Received","Not received",IF(AND(B50&lt;&gt;"",ISNUMBER(C50),ISNUMBER(D50),E50&lt;&gt;"",F50&lt;&gt;""),"Counted","Incomplete"))))</x:f>
      </x:c>
    </x:row>
    <x:row r="51">
      <x:c r="A51" s="17"/>
      <x:c r="B51" s="17"/>
      <x:c r="C51" s="19"/>
      <x:c r="D51" s="20"/>
      <x:c r="E51" s="17"/>
      <x:c r="F51" s="17"/>
      <x:c r="G51" s="17"/>
      <x:c r="H51" s="17"/>
      <x:c r="I51" s="17"/>
      <x:c r="J51" s="2" t="str">
        <x:f>IF(A51="","",IF(COUNTIF($A$6:$A$105,A51)&gt;1,"Duplicate ID",IF(G51&lt;&gt;"Received","Not received",IF(AND(B51&lt;&gt;"",ISNUMBER(C51),ISNUMBER(D51),E51&lt;&gt;"",F51&lt;&gt;""),"Counted","Incomplete"))))</x:f>
      </x:c>
    </x:row>
    <x:row r="52">
      <x:c r="A52" s="17"/>
      <x:c r="B52" s="17"/>
      <x:c r="C52" s="19"/>
      <x:c r="D52" s="20"/>
      <x:c r="E52" s="17"/>
      <x:c r="F52" s="17"/>
      <x:c r="G52" s="17"/>
      <x:c r="H52" s="17"/>
      <x:c r="I52" s="17"/>
      <x:c r="J52" s="2" t="str">
        <x:f>IF(A52="","",IF(COUNTIF($A$6:$A$105,A52)&gt;1,"Duplicate ID",IF(G52&lt;&gt;"Received","Not received",IF(AND(B52&lt;&gt;"",ISNUMBER(C52),ISNUMBER(D52),E52&lt;&gt;"",F52&lt;&gt;""),"Counted","Incomplete"))))</x:f>
      </x:c>
    </x:row>
    <x:row r="53">
      <x:c r="A53" s="17"/>
      <x:c r="B53" s="17"/>
      <x:c r="C53" s="19"/>
      <x:c r="D53" s="20"/>
      <x:c r="E53" s="17"/>
      <x:c r="F53" s="17"/>
      <x:c r="G53" s="17"/>
      <x:c r="H53" s="17"/>
      <x:c r="I53" s="17"/>
      <x:c r="J53" s="2" t="str">
        <x:f>IF(A53="","",IF(COUNTIF($A$6:$A$105,A53)&gt;1,"Duplicate ID",IF(G53&lt;&gt;"Received","Not received",IF(AND(B53&lt;&gt;"",ISNUMBER(C53),ISNUMBER(D53),E53&lt;&gt;"",F53&lt;&gt;""),"Counted","Incomplete"))))</x:f>
      </x:c>
    </x:row>
    <x:row r="54">
      <x:c r="A54" s="17"/>
      <x:c r="B54" s="17"/>
      <x:c r="C54" s="19"/>
      <x:c r="D54" s="20"/>
      <x:c r="E54" s="17"/>
      <x:c r="F54" s="17"/>
      <x:c r="G54" s="17"/>
      <x:c r="H54" s="17"/>
      <x:c r="I54" s="17"/>
      <x:c r="J54" s="2" t="str">
        <x:f>IF(A54="","",IF(COUNTIF($A$6:$A$105,A54)&gt;1,"Duplicate ID",IF(G54&lt;&gt;"Received","Not received",IF(AND(B54&lt;&gt;"",ISNUMBER(C54),ISNUMBER(D54),E54&lt;&gt;"",F54&lt;&gt;""),"Counted","Incomplete"))))</x:f>
      </x:c>
    </x:row>
    <x:row r="55">
      <x:c r="A55" s="17"/>
      <x:c r="B55" s="17"/>
      <x:c r="C55" s="19"/>
      <x:c r="D55" s="20"/>
      <x:c r="E55" s="17"/>
      <x:c r="F55" s="17"/>
      <x:c r="G55" s="17"/>
      <x:c r="H55" s="17"/>
      <x:c r="I55" s="17"/>
      <x:c r="J55" s="2" t="str">
        <x:f>IF(A55="","",IF(COUNTIF($A$6:$A$105,A55)&gt;1,"Duplicate ID",IF(G55&lt;&gt;"Received","Not received",IF(AND(B55&lt;&gt;"",ISNUMBER(C55),ISNUMBER(D55),E55&lt;&gt;"",F55&lt;&gt;""),"Counted","Incomplete"))))</x:f>
      </x:c>
    </x:row>
    <x:row r="56">
      <x:c r="A56" s="17"/>
      <x:c r="B56" s="17"/>
      <x:c r="C56" s="19"/>
      <x:c r="D56" s="20"/>
      <x:c r="E56" s="17"/>
      <x:c r="F56" s="17"/>
      <x:c r="G56" s="17"/>
      <x:c r="H56" s="17"/>
      <x:c r="I56" s="17"/>
      <x:c r="J56" s="2" t="str">
        <x:f>IF(A56="","",IF(COUNTIF($A$6:$A$105,A56)&gt;1,"Duplicate ID",IF(G56&lt;&gt;"Received","Not received",IF(AND(B56&lt;&gt;"",ISNUMBER(C56),ISNUMBER(D56),E56&lt;&gt;"",F56&lt;&gt;""),"Counted","Incomplete"))))</x:f>
      </x:c>
    </x:row>
    <x:row r="57">
      <x:c r="A57" s="17"/>
      <x:c r="B57" s="17"/>
      <x:c r="C57" s="19"/>
      <x:c r="D57" s="20"/>
      <x:c r="E57" s="17"/>
      <x:c r="F57" s="17"/>
      <x:c r="G57" s="17"/>
      <x:c r="H57" s="17"/>
      <x:c r="I57" s="17"/>
      <x:c r="J57" s="2" t="str">
        <x:f>IF(A57="","",IF(COUNTIF($A$6:$A$105,A57)&gt;1,"Duplicate ID",IF(G57&lt;&gt;"Received","Not received",IF(AND(B57&lt;&gt;"",ISNUMBER(C57),ISNUMBER(D57),E57&lt;&gt;"",F57&lt;&gt;""),"Counted","Incomplete"))))</x:f>
      </x:c>
    </x:row>
    <x:row r="58">
      <x:c r="A58" s="17"/>
      <x:c r="B58" s="17"/>
      <x:c r="C58" s="19"/>
      <x:c r="D58" s="20"/>
      <x:c r="E58" s="17"/>
      <x:c r="F58" s="17"/>
      <x:c r="G58" s="17"/>
      <x:c r="H58" s="17"/>
      <x:c r="I58" s="17"/>
      <x:c r="J58" s="2" t="str">
        <x:f>IF(A58="","",IF(COUNTIF($A$6:$A$105,A58)&gt;1,"Duplicate ID",IF(G58&lt;&gt;"Received","Not received",IF(AND(B58&lt;&gt;"",ISNUMBER(C58),ISNUMBER(D58),E58&lt;&gt;"",F58&lt;&gt;""),"Counted","Incomplete"))))</x:f>
      </x:c>
    </x:row>
    <x:row r="59">
      <x:c r="A59" s="17"/>
      <x:c r="B59" s="17"/>
      <x:c r="C59" s="19"/>
      <x:c r="D59" s="20"/>
      <x:c r="E59" s="17"/>
      <x:c r="F59" s="17"/>
      <x:c r="G59" s="17"/>
      <x:c r="H59" s="17"/>
      <x:c r="I59" s="17"/>
      <x:c r="J59" s="2" t="str">
        <x:f>IF(A59="","",IF(COUNTIF($A$6:$A$105,A59)&gt;1,"Duplicate ID",IF(G59&lt;&gt;"Received","Not received",IF(AND(B59&lt;&gt;"",ISNUMBER(C59),ISNUMBER(D59),E59&lt;&gt;"",F59&lt;&gt;""),"Counted","Incomplete"))))</x:f>
      </x:c>
    </x:row>
    <x:row r="60">
      <x:c r="A60" s="17"/>
      <x:c r="B60" s="17"/>
      <x:c r="C60" s="19"/>
      <x:c r="D60" s="20"/>
      <x:c r="E60" s="17"/>
      <x:c r="F60" s="17"/>
      <x:c r="G60" s="17"/>
      <x:c r="H60" s="17"/>
      <x:c r="I60" s="17"/>
      <x:c r="J60" s="2" t="str">
        <x:f>IF(A60="","",IF(COUNTIF($A$6:$A$105,A60)&gt;1,"Duplicate ID",IF(G60&lt;&gt;"Received","Not received",IF(AND(B60&lt;&gt;"",ISNUMBER(C60),ISNUMBER(D60),E60&lt;&gt;"",F60&lt;&gt;""),"Counted","Incomplete"))))</x:f>
      </x:c>
    </x:row>
    <x:row r="61">
      <x:c r="A61" s="17"/>
      <x:c r="B61" s="17"/>
      <x:c r="C61" s="19"/>
      <x:c r="D61" s="20"/>
      <x:c r="E61" s="17"/>
      <x:c r="F61" s="17"/>
      <x:c r="G61" s="17"/>
      <x:c r="H61" s="17"/>
      <x:c r="I61" s="17"/>
      <x:c r="J61" s="2" t="str">
        <x:f>IF(A61="","",IF(COUNTIF($A$6:$A$105,A61)&gt;1,"Duplicate ID",IF(G61&lt;&gt;"Received","Not received",IF(AND(B61&lt;&gt;"",ISNUMBER(C61),ISNUMBER(D61),E61&lt;&gt;"",F61&lt;&gt;""),"Counted","Incomplete"))))</x:f>
      </x:c>
    </x:row>
    <x:row r="62">
      <x:c r="A62" s="17"/>
      <x:c r="B62" s="17"/>
      <x:c r="C62" s="19"/>
      <x:c r="D62" s="20"/>
      <x:c r="E62" s="17"/>
      <x:c r="F62" s="17"/>
      <x:c r="G62" s="17"/>
      <x:c r="H62" s="17"/>
      <x:c r="I62" s="17"/>
      <x:c r="J62" s="2" t="str">
        <x:f>IF(A62="","",IF(COUNTIF($A$6:$A$105,A62)&gt;1,"Duplicate ID",IF(G62&lt;&gt;"Received","Not received",IF(AND(B62&lt;&gt;"",ISNUMBER(C62),ISNUMBER(D62),E62&lt;&gt;"",F62&lt;&gt;""),"Counted","Incomplete"))))</x:f>
      </x:c>
    </x:row>
    <x:row r="63">
      <x:c r="A63" s="17"/>
      <x:c r="B63" s="17"/>
      <x:c r="C63" s="19"/>
      <x:c r="D63" s="20"/>
      <x:c r="E63" s="17"/>
      <x:c r="F63" s="17"/>
      <x:c r="G63" s="17"/>
      <x:c r="H63" s="17"/>
      <x:c r="I63" s="17"/>
      <x:c r="J63" s="2" t="str">
        <x:f>IF(A63="","",IF(COUNTIF($A$6:$A$105,A63)&gt;1,"Duplicate ID",IF(G63&lt;&gt;"Received","Not received",IF(AND(B63&lt;&gt;"",ISNUMBER(C63),ISNUMBER(D63),E63&lt;&gt;"",F63&lt;&gt;""),"Counted","Incomplete"))))</x:f>
      </x:c>
    </x:row>
    <x:row r="64">
      <x:c r="A64" s="17"/>
      <x:c r="B64" s="17"/>
      <x:c r="C64" s="19"/>
      <x:c r="D64" s="20"/>
      <x:c r="E64" s="17"/>
      <x:c r="F64" s="17"/>
      <x:c r="G64" s="17"/>
      <x:c r="H64" s="17"/>
      <x:c r="I64" s="17"/>
      <x:c r="J64" s="2" t="str">
        <x:f>IF(A64="","",IF(COUNTIF($A$6:$A$105,A64)&gt;1,"Duplicate ID",IF(G64&lt;&gt;"Received","Not received",IF(AND(B64&lt;&gt;"",ISNUMBER(C64),ISNUMBER(D64),E64&lt;&gt;"",F64&lt;&gt;""),"Counted","Incomplete"))))</x:f>
      </x:c>
    </x:row>
    <x:row r="65">
      <x:c r="A65" s="17"/>
      <x:c r="B65" s="17"/>
      <x:c r="C65" s="19"/>
      <x:c r="D65" s="20"/>
      <x:c r="E65" s="17"/>
      <x:c r="F65" s="17"/>
      <x:c r="G65" s="17"/>
      <x:c r="H65" s="17"/>
      <x:c r="I65" s="17"/>
      <x:c r="J65" s="2" t="str">
        <x:f>IF(A65="","",IF(COUNTIF($A$6:$A$105,A65)&gt;1,"Duplicate ID",IF(G65&lt;&gt;"Received","Not received",IF(AND(B65&lt;&gt;"",ISNUMBER(C65),ISNUMBER(D65),E65&lt;&gt;"",F65&lt;&gt;""),"Counted","Incomplete"))))</x:f>
      </x:c>
    </x:row>
    <x:row r="66">
      <x:c r="A66" s="17"/>
      <x:c r="B66" s="17"/>
      <x:c r="C66" s="19"/>
      <x:c r="D66" s="20"/>
      <x:c r="E66" s="17"/>
      <x:c r="F66" s="17"/>
      <x:c r="G66" s="17"/>
      <x:c r="H66" s="17"/>
      <x:c r="I66" s="17"/>
      <x:c r="J66" s="2" t="str">
        <x:f>IF(A66="","",IF(COUNTIF($A$6:$A$105,A66)&gt;1,"Duplicate ID",IF(G66&lt;&gt;"Received","Not received",IF(AND(B66&lt;&gt;"",ISNUMBER(C66),ISNUMBER(D66),E66&lt;&gt;"",F66&lt;&gt;""),"Counted","Incomplete"))))</x:f>
      </x:c>
    </x:row>
    <x:row r="67">
      <x:c r="A67" s="17"/>
      <x:c r="B67" s="17"/>
      <x:c r="C67" s="19"/>
      <x:c r="D67" s="20"/>
      <x:c r="E67" s="17"/>
      <x:c r="F67" s="17"/>
      <x:c r="G67" s="17"/>
      <x:c r="H67" s="17"/>
      <x:c r="I67" s="17"/>
      <x:c r="J67" s="2" t="str">
        <x:f>IF(A67="","",IF(COUNTIF($A$6:$A$105,A67)&gt;1,"Duplicate ID",IF(G67&lt;&gt;"Received","Not received",IF(AND(B67&lt;&gt;"",ISNUMBER(C67),ISNUMBER(D67),E67&lt;&gt;"",F67&lt;&gt;""),"Counted","Incomplete"))))</x:f>
      </x:c>
    </x:row>
    <x:row r="68">
      <x:c r="A68" s="17"/>
      <x:c r="B68" s="17"/>
      <x:c r="C68" s="19"/>
      <x:c r="D68" s="20"/>
      <x:c r="E68" s="17"/>
      <x:c r="F68" s="17"/>
      <x:c r="G68" s="17"/>
      <x:c r="H68" s="17"/>
      <x:c r="I68" s="17"/>
      <x:c r="J68" s="2" t="str">
        <x:f>IF(A68="","",IF(COUNTIF($A$6:$A$105,A68)&gt;1,"Duplicate ID",IF(G68&lt;&gt;"Received","Not received",IF(AND(B68&lt;&gt;"",ISNUMBER(C68),ISNUMBER(D68),E68&lt;&gt;"",F68&lt;&gt;""),"Counted","Incomplete"))))</x:f>
      </x:c>
    </x:row>
    <x:row r="69">
      <x:c r="A69" s="17"/>
      <x:c r="B69" s="17"/>
      <x:c r="C69" s="19"/>
      <x:c r="D69" s="20"/>
      <x:c r="E69" s="17"/>
      <x:c r="F69" s="17"/>
      <x:c r="G69" s="17"/>
      <x:c r="H69" s="17"/>
      <x:c r="I69" s="17"/>
      <x:c r="J69" s="2" t="str">
        <x:f>IF(A69="","",IF(COUNTIF($A$6:$A$105,A69)&gt;1,"Duplicate ID",IF(G69&lt;&gt;"Received","Not received",IF(AND(B69&lt;&gt;"",ISNUMBER(C69),ISNUMBER(D69),E69&lt;&gt;"",F69&lt;&gt;""),"Counted","Incomplete"))))</x:f>
      </x:c>
    </x:row>
    <x:row r="70">
      <x:c r="A70" s="17"/>
      <x:c r="B70" s="17"/>
      <x:c r="C70" s="19"/>
      <x:c r="D70" s="20"/>
      <x:c r="E70" s="17"/>
      <x:c r="F70" s="17"/>
      <x:c r="G70" s="17"/>
      <x:c r="H70" s="17"/>
      <x:c r="I70" s="17"/>
      <x:c r="J70" s="2" t="str">
        <x:f>IF(A70="","",IF(COUNTIF($A$6:$A$105,A70)&gt;1,"Duplicate ID",IF(G70&lt;&gt;"Received","Not received",IF(AND(B70&lt;&gt;"",ISNUMBER(C70),ISNUMBER(D70),E70&lt;&gt;"",F70&lt;&gt;""),"Counted","Incomplete"))))</x:f>
      </x:c>
    </x:row>
    <x:row r="71">
      <x:c r="A71" s="17"/>
      <x:c r="B71" s="17"/>
      <x:c r="C71" s="19"/>
      <x:c r="D71" s="20"/>
      <x:c r="E71" s="17"/>
      <x:c r="F71" s="17"/>
      <x:c r="G71" s="17"/>
      <x:c r="H71" s="17"/>
      <x:c r="I71" s="17"/>
      <x:c r="J71" s="2" t="str">
        <x:f>IF(A71="","",IF(COUNTIF($A$6:$A$105,A71)&gt;1,"Duplicate ID",IF(G71&lt;&gt;"Received","Not received",IF(AND(B71&lt;&gt;"",ISNUMBER(C71),ISNUMBER(D71),E71&lt;&gt;"",F71&lt;&gt;""),"Counted","Incomplete"))))</x:f>
      </x:c>
    </x:row>
    <x:row r="72">
      <x:c r="A72" s="17"/>
      <x:c r="B72" s="17"/>
      <x:c r="C72" s="19"/>
      <x:c r="D72" s="20"/>
      <x:c r="E72" s="17"/>
      <x:c r="F72" s="17"/>
      <x:c r="G72" s="17"/>
      <x:c r="H72" s="17"/>
      <x:c r="I72" s="17"/>
      <x:c r="J72" s="2" t="str">
        <x:f>IF(A72="","",IF(COUNTIF($A$6:$A$105,A72)&gt;1,"Duplicate ID",IF(G72&lt;&gt;"Received","Not received",IF(AND(B72&lt;&gt;"",ISNUMBER(C72),ISNUMBER(D72),E72&lt;&gt;"",F72&lt;&gt;""),"Counted","Incomplete"))))</x:f>
      </x:c>
    </x:row>
    <x:row r="73">
      <x:c r="A73" s="17"/>
      <x:c r="B73" s="17"/>
      <x:c r="C73" s="19"/>
      <x:c r="D73" s="20"/>
      <x:c r="E73" s="17"/>
      <x:c r="F73" s="17"/>
      <x:c r="G73" s="17"/>
      <x:c r="H73" s="17"/>
      <x:c r="I73" s="17"/>
      <x:c r="J73" s="2" t="str">
        <x:f>IF(A73="","",IF(COUNTIF($A$6:$A$105,A73)&gt;1,"Duplicate ID",IF(G73&lt;&gt;"Received","Not received",IF(AND(B73&lt;&gt;"",ISNUMBER(C73),ISNUMBER(D73),E73&lt;&gt;"",F73&lt;&gt;""),"Counted","Incomplete"))))</x:f>
      </x:c>
    </x:row>
    <x:row r="74">
      <x:c r="A74" s="17"/>
      <x:c r="B74" s="17"/>
      <x:c r="C74" s="19"/>
      <x:c r="D74" s="20"/>
      <x:c r="E74" s="17"/>
      <x:c r="F74" s="17"/>
      <x:c r="G74" s="17"/>
      <x:c r="H74" s="17"/>
      <x:c r="I74" s="17"/>
      <x:c r="J74" s="2" t="str">
        <x:f>IF(A74="","",IF(COUNTIF($A$6:$A$105,A74)&gt;1,"Duplicate ID",IF(G74&lt;&gt;"Received","Not received",IF(AND(B74&lt;&gt;"",ISNUMBER(C74),ISNUMBER(D74),E74&lt;&gt;"",F74&lt;&gt;""),"Counted","Incomplete"))))</x:f>
      </x:c>
    </x:row>
    <x:row r="75">
      <x:c r="A75" s="17"/>
      <x:c r="B75" s="17"/>
      <x:c r="C75" s="19"/>
      <x:c r="D75" s="20"/>
      <x:c r="E75" s="17"/>
      <x:c r="F75" s="17"/>
      <x:c r="G75" s="17"/>
      <x:c r="H75" s="17"/>
      <x:c r="I75" s="17"/>
      <x:c r="J75" s="2" t="str">
        <x:f>IF(A75="","",IF(COUNTIF($A$6:$A$105,A75)&gt;1,"Duplicate ID",IF(G75&lt;&gt;"Received","Not received",IF(AND(B75&lt;&gt;"",ISNUMBER(C75),ISNUMBER(D75),E75&lt;&gt;"",F75&lt;&gt;""),"Counted","Incomplete"))))</x:f>
      </x:c>
    </x:row>
    <x:row r="76">
      <x:c r="A76" s="17"/>
      <x:c r="B76" s="17"/>
      <x:c r="C76" s="19"/>
      <x:c r="D76" s="20"/>
      <x:c r="E76" s="17"/>
      <x:c r="F76" s="17"/>
      <x:c r="G76" s="17"/>
      <x:c r="H76" s="17"/>
      <x:c r="I76" s="17"/>
      <x:c r="J76" s="2" t="str">
        <x:f>IF(A76="","",IF(COUNTIF($A$6:$A$105,A76)&gt;1,"Duplicate ID",IF(G76&lt;&gt;"Received","Not received",IF(AND(B76&lt;&gt;"",ISNUMBER(C76),ISNUMBER(D76),E76&lt;&gt;"",F76&lt;&gt;""),"Counted","Incomplete"))))</x:f>
      </x:c>
    </x:row>
    <x:row r="77">
      <x:c r="A77" s="17"/>
      <x:c r="B77" s="17"/>
      <x:c r="C77" s="19"/>
      <x:c r="D77" s="20"/>
      <x:c r="E77" s="17"/>
      <x:c r="F77" s="17"/>
      <x:c r="G77" s="17"/>
      <x:c r="H77" s="17"/>
      <x:c r="I77" s="17"/>
      <x:c r="J77" s="2" t="str">
        <x:f>IF(A77="","",IF(COUNTIF($A$6:$A$105,A77)&gt;1,"Duplicate ID",IF(G77&lt;&gt;"Received","Not received",IF(AND(B77&lt;&gt;"",ISNUMBER(C77),ISNUMBER(D77),E77&lt;&gt;"",F77&lt;&gt;""),"Counted","Incomplete"))))</x:f>
      </x:c>
    </x:row>
    <x:row r="78">
      <x:c r="A78" s="17"/>
      <x:c r="B78" s="17"/>
      <x:c r="C78" s="19"/>
      <x:c r="D78" s="20"/>
      <x:c r="E78" s="17"/>
      <x:c r="F78" s="17"/>
      <x:c r="G78" s="17"/>
      <x:c r="H78" s="17"/>
      <x:c r="I78" s="17"/>
      <x:c r="J78" s="2" t="str">
        <x:f>IF(A78="","",IF(COUNTIF($A$6:$A$105,A78)&gt;1,"Duplicate ID",IF(G78&lt;&gt;"Received","Not received",IF(AND(B78&lt;&gt;"",ISNUMBER(C78),ISNUMBER(D78),E78&lt;&gt;"",F78&lt;&gt;""),"Counted","Incomplete"))))</x:f>
      </x:c>
    </x:row>
    <x:row r="79">
      <x:c r="A79" s="17"/>
      <x:c r="B79" s="17"/>
      <x:c r="C79" s="19"/>
      <x:c r="D79" s="20"/>
      <x:c r="E79" s="17"/>
      <x:c r="F79" s="17"/>
      <x:c r="G79" s="17"/>
      <x:c r="H79" s="17"/>
      <x:c r="I79" s="17"/>
      <x:c r="J79" s="2" t="str">
        <x:f>IF(A79="","",IF(COUNTIF($A$6:$A$105,A79)&gt;1,"Duplicate ID",IF(G79&lt;&gt;"Received","Not received",IF(AND(B79&lt;&gt;"",ISNUMBER(C79),ISNUMBER(D79),E79&lt;&gt;"",F79&lt;&gt;""),"Counted","Incomplete"))))</x:f>
      </x:c>
    </x:row>
    <x:row r="80">
      <x:c r="A80" s="17"/>
      <x:c r="B80" s="17"/>
      <x:c r="C80" s="19"/>
      <x:c r="D80" s="20"/>
      <x:c r="E80" s="17"/>
      <x:c r="F80" s="17"/>
      <x:c r="G80" s="17"/>
      <x:c r="H80" s="17"/>
      <x:c r="I80" s="17"/>
      <x:c r="J80" s="2" t="str">
        <x:f>IF(A80="","",IF(COUNTIF($A$6:$A$105,A80)&gt;1,"Duplicate ID",IF(G80&lt;&gt;"Received","Not received",IF(AND(B80&lt;&gt;"",ISNUMBER(C80),ISNUMBER(D80),E80&lt;&gt;"",F80&lt;&gt;""),"Counted","Incomplete"))))</x:f>
      </x:c>
    </x:row>
    <x:row r="81">
      <x:c r="A81" s="17"/>
      <x:c r="B81" s="17"/>
      <x:c r="C81" s="19"/>
      <x:c r="D81" s="20"/>
      <x:c r="E81" s="17"/>
      <x:c r="F81" s="17"/>
      <x:c r="G81" s="17"/>
      <x:c r="H81" s="17"/>
      <x:c r="I81" s="17"/>
      <x:c r="J81" s="2" t="str">
        <x:f>IF(A81="","",IF(COUNTIF($A$6:$A$105,A81)&gt;1,"Duplicate ID",IF(G81&lt;&gt;"Received","Not received",IF(AND(B81&lt;&gt;"",ISNUMBER(C81),ISNUMBER(D81),E81&lt;&gt;"",F81&lt;&gt;""),"Counted","Incomplete"))))</x:f>
      </x:c>
    </x:row>
    <x:row r="82">
      <x:c r="A82" s="17"/>
      <x:c r="B82" s="17"/>
      <x:c r="C82" s="19"/>
      <x:c r="D82" s="20"/>
      <x:c r="E82" s="17"/>
      <x:c r="F82" s="17"/>
      <x:c r="G82" s="17"/>
      <x:c r="H82" s="17"/>
      <x:c r="I82" s="17"/>
      <x:c r="J82" s="2" t="str">
        <x:f>IF(A82="","",IF(COUNTIF($A$6:$A$105,A82)&gt;1,"Duplicate ID",IF(G82&lt;&gt;"Received","Not received",IF(AND(B82&lt;&gt;"",ISNUMBER(C82),ISNUMBER(D82),E82&lt;&gt;"",F82&lt;&gt;""),"Counted","Incomplete"))))</x:f>
      </x:c>
    </x:row>
    <x:row r="83">
      <x:c r="A83" s="17"/>
      <x:c r="B83" s="17"/>
      <x:c r="C83" s="19"/>
      <x:c r="D83" s="20"/>
      <x:c r="E83" s="17"/>
      <x:c r="F83" s="17"/>
      <x:c r="G83" s="17"/>
      <x:c r="H83" s="17"/>
      <x:c r="I83" s="17"/>
      <x:c r="J83" s="2" t="str">
        <x:f>IF(A83="","",IF(COUNTIF($A$6:$A$105,A83)&gt;1,"Duplicate ID",IF(G83&lt;&gt;"Received","Not received",IF(AND(B83&lt;&gt;"",ISNUMBER(C83),ISNUMBER(D83),E83&lt;&gt;"",F83&lt;&gt;""),"Counted","Incomplete"))))</x:f>
      </x:c>
    </x:row>
    <x:row r="84">
      <x:c r="A84" s="17"/>
      <x:c r="B84" s="17"/>
      <x:c r="C84" s="19"/>
      <x:c r="D84" s="20"/>
      <x:c r="E84" s="17"/>
      <x:c r="F84" s="17"/>
      <x:c r="G84" s="17"/>
      <x:c r="H84" s="17"/>
      <x:c r="I84" s="17"/>
      <x:c r="J84" s="2" t="str">
        <x:f>IF(A84="","",IF(COUNTIF($A$6:$A$105,A84)&gt;1,"Duplicate ID",IF(G84&lt;&gt;"Received","Not received",IF(AND(B84&lt;&gt;"",ISNUMBER(C84),ISNUMBER(D84),E84&lt;&gt;"",F84&lt;&gt;""),"Counted","Incomplete"))))</x:f>
      </x:c>
    </x:row>
    <x:row r="85">
      <x:c r="A85" s="17"/>
      <x:c r="B85" s="17"/>
      <x:c r="C85" s="19"/>
      <x:c r="D85" s="20"/>
      <x:c r="E85" s="17"/>
      <x:c r="F85" s="17"/>
      <x:c r="G85" s="17"/>
      <x:c r="H85" s="17"/>
      <x:c r="I85" s="17"/>
      <x:c r="J85" s="2" t="str">
        <x:f>IF(A85="","",IF(COUNTIF($A$6:$A$105,A85)&gt;1,"Duplicate ID",IF(G85&lt;&gt;"Received","Not received",IF(AND(B85&lt;&gt;"",ISNUMBER(C85),ISNUMBER(D85),E85&lt;&gt;"",F85&lt;&gt;""),"Counted","Incomplete"))))</x:f>
      </x:c>
    </x:row>
    <x:row r="86">
      <x:c r="A86" s="17"/>
      <x:c r="B86" s="17"/>
      <x:c r="C86" s="19"/>
      <x:c r="D86" s="20"/>
      <x:c r="E86" s="17"/>
      <x:c r="F86" s="17"/>
      <x:c r="G86" s="17"/>
      <x:c r="H86" s="17"/>
      <x:c r="I86" s="17"/>
      <x:c r="J86" s="2" t="str">
        <x:f>IF(A86="","",IF(COUNTIF($A$6:$A$105,A86)&gt;1,"Duplicate ID",IF(G86&lt;&gt;"Received","Not received",IF(AND(B86&lt;&gt;"",ISNUMBER(C86),ISNUMBER(D86),E86&lt;&gt;"",F86&lt;&gt;""),"Counted","Incomplete"))))</x:f>
      </x:c>
    </x:row>
    <x:row r="87">
      <x:c r="A87" s="17"/>
      <x:c r="B87" s="17"/>
      <x:c r="C87" s="19"/>
      <x:c r="D87" s="20"/>
      <x:c r="E87" s="17"/>
      <x:c r="F87" s="17"/>
      <x:c r="G87" s="17"/>
      <x:c r="H87" s="17"/>
      <x:c r="I87" s="17"/>
      <x:c r="J87" s="2" t="str">
        <x:f>IF(A87="","",IF(COUNTIF($A$6:$A$105,A87)&gt;1,"Duplicate ID",IF(G87&lt;&gt;"Received","Not received",IF(AND(B87&lt;&gt;"",ISNUMBER(C87),ISNUMBER(D87),E87&lt;&gt;"",F87&lt;&gt;""),"Counted","Incomplete"))))</x:f>
      </x:c>
    </x:row>
    <x:row r="88">
      <x:c r="A88" s="17"/>
      <x:c r="B88" s="17"/>
      <x:c r="C88" s="19"/>
      <x:c r="D88" s="20"/>
      <x:c r="E88" s="17"/>
      <x:c r="F88" s="17"/>
      <x:c r="G88" s="17"/>
      <x:c r="H88" s="17"/>
      <x:c r="I88" s="17"/>
      <x:c r="J88" s="2" t="str">
        <x:f>IF(A88="","",IF(COUNTIF($A$6:$A$105,A88)&gt;1,"Duplicate ID",IF(G88&lt;&gt;"Received","Not received",IF(AND(B88&lt;&gt;"",ISNUMBER(C88),ISNUMBER(D88),E88&lt;&gt;"",F88&lt;&gt;""),"Counted","Incomplete"))))</x:f>
      </x:c>
    </x:row>
    <x:row r="89">
      <x:c r="A89" s="17"/>
      <x:c r="B89" s="17"/>
      <x:c r="C89" s="19"/>
      <x:c r="D89" s="20"/>
      <x:c r="E89" s="17"/>
      <x:c r="F89" s="17"/>
      <x:c r="G89" s="17"/>
      <x:c r="H89" s="17"/>
      <x:c r="I89" s="17"/>
      <x:c r="J89" s="2" t="str">
        <x:f>IF(A89="","",IF(COUNTIF($A$6:$A$105,A89)&gt;1,"Duplicate ID",IF(G89&lt;&gt;"Received","Not received",IF(AND(B89&lt;&gt;"",ISNUMBER(C89),ISNUMBER(D89),E89&lt;&gt;"",F89&lt;&gt;""),"Counted","Incomplete"))))</x:f>
      </x:c>
    </x:row>
    <x:row r="90">
      <x:c r="A90" s="17"/>
      <x:c r="B90" s="17"/>
      <x:c r="C90" s="19"/>
      <x:c r="D90" s="20"/>
      <x:c r="E90" s="17"/>
      <x:c r="F90" s="17"/>
      <x:c r="G90" s="17"/>
      <x:c r="H90" s="17"/>
      <x:c r="I90" s="17"/>
      <x:c r="J90" s="2" t="str">
        <x:f>IF(A90="","",IF(COUNTIF($A$6:$A$105,A90)&gt;1,"Duplicate ID",IF(G90&lt;&gt;"Received","Not received",IF(AND(B90&lt;&gt;"",ISNUMBER(C90),ISNUMBER(D90),E90&lt;&gt;"",F90&lt;&gt;""),"Counted","Incomplete"))))</x:f>
      </x:c>
    </x:row>
    <x:row r="91">
      <x:c r="A91" s="17"/>
      <x:c r="B91" s="17"/>
      <x:c r="C91" s="19"/>
      <x:c r="D91" s="20"/>
      <x:c r="E91" s="17"/>
      <x:c r="F91" s="17"/>
      <x:c r="G91" s="17"/>
      <x:c r="H91" s="17"/>
      <x:c r="I91" s="17"/>
      <x:c r="J91" s="2" t="str">
        <x:f>IF(A91="","",IF(COUNTIF($A$6:$A$105,A91)&gt;1,"Duplicate ID",IF(G91&lt;&gt;"Received","Not received",IF(AND(B91&lt;&gt;"",ISNUMBER(C91),ISNUMBER(D91),E91&lt;&gt;"",F91&lt;&gt;""),"Counted","Incomplete"))))</x:f>
      </x:c>
    </x:row>
    <x:row r="92">
      <x:c r="A92" s="17"/>
      <x:c r="B92" s="17"/>
      <x:c r="C92" s="19"/>
      <x:c r="D92" s="20"/>
      <x:c r="E92" s="17"/>
      <x:c r="F92" s="17"/>
      <x:c r="G92" s="17"/>
      <x:c r="H92" s="17"/>
      <x:c r="I92" s="17"/>
      <x:c r="J92" s="2" t="str">
        <x:f>IF(A92="","",IF(COUNTIF($A$6:$A$105,A92)&gt;1,"Duplicate ID",IF(G92&lt;&gt;"Received","Not received",IF(AND(B92&lt;&gt;"",ISNUMBER(C92),ISNUMBER(D92),E92&lt;&gt;"",F92&lt;&gt;""),"Counted","Incomplete"))))</x:f>
      </x:c>
    </x:row>
    <x:row r="93">
      <x:c r="A93" s="17"/>
      <x:c r="B93" s="17"/>
      <x:c r="C93" s="19"/>
      <x:c r="D93" s="20"/>
      <x:c r="E93" s="17"/>
      <x:c r="F93" s="17"/>
      <x:c r="G93" s="17"/>
      <x:c r="H93" s="17"/>
      <x:c r="I93" s="17"/>
      <x:c r="J93" s="2" t="str">
        <x:f>IF(A93="","",IF(COUNTIF($A$6:$A$105,A93)&gt;1,"Duplicate ID",IF(G93&lt;&gt;"Received","Not received",IF(AND(B93&lt;&gt;"",ISNUMBER(C93),ISNUMBER(D93),E93&lt;&gt;"",F93&lt;&gt;""),"Counted","Incomplete"))))</x:f>
      </x:c>
    </x:row>
    <x:row r="94">
      <x:c r="A94" s="17"/>
      <x:c r="B94" s="17"/>
      <x:c r="C94" s="19"/>
      <x:c r="D94" s="20"/>
      <x:c r="E94" s="17"/>
      <x:c r="F94" s="17"/>
      <x:c r="G94" s="17"/>
      <x:c r="H94" s="17"/>
      <x:c r="I94" s="17"/>
      <x:c r="J94" s="2" t="str">
        <x:f>IF(A94="","",IF(COUNTIF($A$6:$A$105,A94)&gt;1,"Duplicate ID",IF(G94&lt;&gt;"Received","Not received",IF(AND(B94&lt;&gt;"",ISNUMBER(C94),ISNUMBER(D94),E94&lt;&gt;"",F94&lt;&gt;""),"Counted","Incomplete"))))</x:f>
      </x:c>
    </x:row>
    <x:row r="95">
      <x:c r="A95" s="17"/>
      <x:c r="B95" s="17"/>
      <x:c r="C95" s="19"/>
      <x:c r="D95" s="20"/>
      <x:c r="E95" s="17"/>
      <x:c r="F95" s="17"/>
      <x:c r="G95" s="17"/>
      <x:c r="H95" s="17"/>
      <x:c r="I95" s="17"/>
      <x:c r="J95" s="2" t="str">
        <x:f>IF(A95="","",IF(COUNTIF($A$6:$A$105,A95)&gt;1,"Duplicate ID",IF(G95&lt;&gt;"Received","Not received",IF(AND(B95&lt;&gt;"",ISNUMBER(C95),ISNUMBER(D95),E95&lt;&gt;"",F95&lt;&gt;""),"Counted","Incomplete"))))</x:f>
      </x:c>
    </x:row>
    <x:row r="96">
      <x:c r="A96" s="17"/>
      <x:c r="B96" s="17"/>
      <x:c r="C96" s="19"/>
      <x:c r="D96" s="20"/>
      <x:c r="E96" s="17"/>
      <x:c r="F96" s="17"/>
      <x:c r="G96" s="17"/>
      <x:c r="H96" s="17"/>
      <x:c r="I96" s="17"/>
      <x:c r="J96" s="2" t="str">
        <x:f>IF(A96="","",IF(COUNTIF($A$6:$A$105,A96)&gt;1,"Duplicate ID",IF(G96&lt;&gt;"Received","Not received",IF(AND(B96&lt;&gt;"",ISNUMBER(C96),ISNUMBER(D96),E96&lt;&gt;"",F96&lt;&gt;""),"Counted","Incomplete"))))</x:f>
      </x:c>
    </x:row>
    <x:row r="97">
      <x:c r="A97" s="17"/>
      <x:c r="B97" s="17"/>
      <x:c r="C97" s="19"/>
      <x:c r="D97" s="20"/>
      <x:c r="E97" s="17"/>
      <x:c r="F97" s="17"/>
      <x:c r="G97" s="17"/>
      <x:c r="H97" s="17"/>
      <x:c r="I97" s="17"/>
      <x:c r="J97" s="2" t="str">
        <x:f>IF(A97="","",IF(COUNTIF($A$6:$A$105,A97)&gt;1,"Duplicate ID",IF(G97&lt;&gt;"Received","Not received",IF(AND(B97&lt;&gt;"",ISNUMBER(C97),ISNUMBER(D97),E97&lt;&gt;"",F97&lt;&gt;""),"Counted","Incomplete"))))</x:f>
      </x:c>
    </x:row>
    <x:row r="98">
      <x:c r="A98" s="17"/>
      <x:c r="B98" s="17"/>
      <x:c r="C98" s="19"/>
      <x:c r="D98" s="20"/>
      <x:c r="E98" s="17"/>
      <x:c r="F98" s="17"/>
      <x:c r="G98" s="17"/>
      <x:c r="H98" s="17"/>
      <x:c r="I98" s="17"/>
      <x:c r="J98" s="2" t="str">
        <x:f>IF(A98="","",IF(COUNTIF($A$6:$A$105,A98)&gt;1,"Duplicate ID",IF(G98&lt;&gt;"Received","Not received",IF(AND(B98&lt;&gt;"",ISNUMBER(C98),ISNUMBER(D98),E98&lt;&gt;"",F98&lt;&gt;""),"Counted","Incomplete"))))</x:f>
      </x:c>
    </x:row>
    <x:row r="99">
      <x:c r="A99" s="17"/>
      <x:c r="B99" s="17"/>
      <x:c r="C99" s="19"/>
      <x:c r="D99" s="20"/>
      <x:c r="E99" s="17"/>
      <x:c r="F99" s="17"/>
      <x:c r="G99" s="17"/>
      <x:c r="H99" s="17"/>
      <x:c r="I99" s="17"/>
      <x:c r="J99" s="2" t="str">
        <x:f>IF(A99="","",IF(COUNTIF($A$6:$A$105,A99)&gt;1,"Duplicate ID",IF(G99&lt;&gt;"Received","Not received",IF(AND(B99&lt;&gt;"",ISNUMBER(C99),ISNUMBER(D99),E99&lt;&gt;"",F99&lt;&gt;""),"Counted","Incomplete"))))</x:f>
      </x:c>
    </x:row>
    <x:row r="100">
      <x:c r="A100" s="17"/>
      <x:c r="B100" s="17"/>
      <x:c r="C100" s="19"/>
      <x:c r="D100" s="20"/>
      <x:c r="E100" s="17"/>
      <x:c r="F100" s="17"/>
      <x:c r="G100" s="17"/>
      <x:c r="H100" s="17"/>
      <x:c r="I100" s="17"/>
      <x:c r="J100" s="2" t="str">
        <x:f>IF(A100="","",IF(COUNTIF($A$6:$A$105,A100)&gt;1,"Duplicate ID",IF(G100&lt;&gt;"Received","Not received",IF(AND(B100&lt;&gt;"",ISNUMBER(C100),ISNUMBER(D100),E100&lt;&gt;"",F100&lt;&gt;""),"Counted","Incomplete"))))</x:f>
      </x:c>
    </x:row>
    <x:row r="101">
      <x:c r="A101" s="17"/>
      <x:c r="B101" s="17"/>
      <x:c r="C101" s="19"/>
      <x:c r="D101" s="20"/>
      <x:c r="E101" s="17"/>
      <x:c r="F101" s="17"/>
      <x:c r="G101" s="17"/>
      <x:c r="H101" s="17"/>
      <x:c r="I101" s="17"/>
      <x:c r="J101" s="2" t="str">
        <x:f>IF(A101="","",IF(COUNTIF($A$6:$A$105,A101)&gt;1,"Duplicate ID",IF(G101&lt;&gt;"Received","Not received",IF(AND(B101&lt;&gt;"",ISNUMBER(C101),ISNUMBER(D101),E101&lt;&gt;"",F101&lt;&gt;""),"Counted","Incomplete"))))</x:f>
      </x:c>
    </x:row>
    <x:row r="102">
      <x:c r="A102" s="17"/>
      <x:c r="B102" s="17"/>
      <x:c r="C102" s="19"/>
      <x:c r="D102" s="20"/>
      <x:c r="E102" s="17"/>
      <x:c r="F102" s="17"/>
      <x:c r="G102" s="17"/>
      <x:c r="H102" s="17"/>
      <x:c r="I102" s="17"/>
      <x:c r="J102" s="2" t="str">
        <x:f>IF(A102="","",IF(COUNTIF($A$6:$A$105,A102)&gt;1,"Duplicate ID",IF(G102&lt;&gt;"Received","Not received",IF(AND(B102&lt;&gt;"",ISNUMBER(C102),ISNUMBER(D102),E102&lt;&gt;"",F102&lt;&gt;""),"Counted","Incomplete"))))</x:f>
      </x:c>
    </x:row>
    <x:row r="103">
      <x:c r="A103" s="17"/>
      <x:c r="B103" s="17"/>
      <x:c r="C103" s="19"/>
      <x:c r="D103" s="20"/>
      <x:c r="E103" s="17"/>
      <x:c r="F103" s="17"/>
      <x:c r="G103" s="17"/>
      <x:c r="H103" s="17"/>
      <x:c r="I103" s="17"/>
      <x:c r="J103" s="2" t="str">
        <x:f>IF(A103="","",IF(COUNTIF($A$6:$A$105,A103)&gt;1,"Duplicate ID",IF(G103&lt;&gt;"Received","Not received",IF(AND(B103&lt;&gt;"",ISNUMBER(C103),ISNUMBER(D103),E103&lt;&gt;"",F103&lt;&gt;""),"Counted","Incomplete"))))</x:f>
      </x:c>
    </x:row>
    <x:row r="104">
      <x:c r="A104" s="17"/>
      <x:c r="B104" s="17"/>
      <x:c r="C104" s="19"/>
      <x:c r="D104" s="20"/>
      <x:c r="E104" s="17"/>
      <x:c r="F104" s="17"/>
      <x:c r="G104" s="17"/>
      <x:c r="H104" s="17"/>
      <x:c r="I104" s="17"/>
      <x:c r="J104" s="2" t="str">
        <x:f>IF(A104="","",IF(COUNTIF($A$6:$A$105,A104)&gt;1,"Duplicate ID",IF(G104&lt;&gt;"Received","Not received",IF(AND(B104&lt;&gt;"",ISNUMBER(C104),ISNUMBER(D104),E104&lt;&gt;"",F104&lt;&gt;""),"Counted","Incomplete"))))</x:f>
      </x:c>
    </x:row>
    <x:row r="105">
      <x:c r="A105" s="17"/>
      <x:c r="B105" s="17"/>
      <x:c r="C105" s="19"/>
      <x:c r="D105" s="20"/>
      <x:c r="E105" s="17"/>
      <x:c r="F105" s="17"/>
      <x:c r="G105" s="17"/>
      <x:c r="H105" s="17"/>
      <x:c r="I105" s="17"/>
      <x:c r="J105" s="2" t="str">
        <x:f>IF(A105="","",IF(COUNTIF($A$6:$A$105,A105)&gt;1,"Duplicate ID",IF(G105&lt;&gt;"Received","Not received",IF(AND(B105&lt;&gt;"",ISNUMBER(C105),ISNUMBER(D105),E105&lt;&gt;"",F105&lt;&gt;""),"Counted","Incomplete"))))</x:f>
      </x:c>
    </x:row>
  </x:sheetData>
  <x:dataValidations count="2">
    <x:dataValidation type="list" sqref="G6:G105">
      <x:formula1>"Planned,Received,Cancelled"</x:formula1>
    </x:dataValidation>
    <x:dataValidation type="decimal" operator="greaterThanOrEqual" sqref="D6:D10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9592c21d8d4679"/>
  </x:tableParts>
</x:worksheet>
</file>